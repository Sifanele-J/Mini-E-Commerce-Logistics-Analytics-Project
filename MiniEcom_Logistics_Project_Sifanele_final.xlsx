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23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working\waccache\JN1PEPF00003218\EXCELCNV\3d584f36-11c0-4366-aa83-0a7697325436\"/>
    </mc:Choice>
  </mc:AlternateContent>
  <xr:revisionPtr revIDLastSave="0" documentId="8_{2A5DDBF4-8B9C-48E6-B4A7-872696C44178}" xr6:coauthVersionLast="47" xr6:coauthVersionMax="47" xr10:uidLastSave="{00000000-0000-0000-0000-000000000000}"/>
  <bookViews>
    <workbookView xWindow="-60" yWindow="-60" windowWidth="15480" windowHeight="11640" firstSheet="9" activeTab="9" xr2:uid="{0772ABA2-94DB-4F5E-9DA0-C458584F5CCB}"/>
  </bookViews>
  <sheets>
    <sheet name="Cleaned_Data" sheetId="6" r:id="rId1"/>
    <sheet name="Cleaning_Log" sheetId="3" r:id="rId2"/>
    <sheet name="KPIs" sheetId="4" r:id="rId3"/>
    <sheet name="Pivot - Carrier On-Time%" sheetId="7" r:id="rId4"/>
    <sheet name="Pivot - Avg Delivery Days" sheetId="8" r:id="rId5"/>
    <sheet name="Warehouse Performance" sheetId="11" r:id="rId6"/>
    <sheet name="Pivot - Warehouse vs Carrier" sheetId="9" r:id="rId7"/>
    <sheet name="Dashboard" sheetId="5" r:id="rId8"/>
    <sheet name="Reference Pivots" sheetId="13" state="hidden" r:id="rId9"/>
    <sheet name="Raw" sheetId="1" r:id="rId10"/>
  </sheets>
  <calcPr calcId="191028"/>
  <pivotCaches>
    <pivotCache cacheId="5116" r:id="rId11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4" l="1"/>
  <c r="J6" i="5"/>
  <c r="H6" i="5"/>
  <c r="F6" i="5"/>
  <c r="A2" i="4"/>
  <c r="H2" i="6"/>
  <c r="H3" i="6"/>
  <c r="H4" i="6"/>
  <c r="H5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H55" i="6"/>
  <c r="H56" i="6"/>
  <c r="H57" i="6"/>
  <c r="H58" i="6"/>
  <c r="H59" i="6"/>
  <c r="H60" i="6"/>
  <c r="H61" i="6"/>
  <c r="H62" i="6"/>
  <c r="H63" i="6"/>
  <c r="H64" i="6"/>
  <c r="H65" i="6"/>
  <c r="H66" i="6"/>
  <c r="H67" i="6"/>
  <c r="H68" i="6"/>
  <c r="H69" i="6"/>
  <c r="H70" i="6"/>
  <c r="H71" i="6"/>
  <c r="H72" i="6"/>
  <c r="H73" i="6"/>
  <c r="H74" i="6"/>
  <c r="H75" i="6"/>
  <c r="H76" i="6"/>
  <c r="H77" i="6"/>
  <c r="H78" i="6"/>
  <c r="H79" i="6"/>
  <c r="H80" i="6"/>
  <c r="H81" i="6"/>
  <c r="H82" i="6"/>
  <c r="H83" i="6"/>
  <c r="H84" i="6"/>
  <c r="H85" i="6"/>
  <c r="H86" i="6"/>
  <c r="H87" i="6"/>
  <c r="H88" i="6"/>
  <c r="H89" i="6"/>
  <c r="H90" i="6"/>
  <c r="H91" i="6"/>
  <c r="H92" i="6"/>
  <c r="H93" i="6"/>
  <c r="H94" i="6"/>
  <c r="H95" i="6"/>
  <c r="H96" i="6"/>
  <c r="H97" i="6"/>
  <c r="H98" i="6"/>
  <c r="H99" i="6"/>
  <c r="H100" i="6"/>
  <c r="H101" i="6"/>
  <c r="H102" i="6"/>
  <c r="H103" i="6"/>
  <c r="H104" i="6"/>
  <c r="H105" i="6"/>
  <c r="H106" i="6"/>
  <c r="H107" i="6"/>
  <c r="H108" i="6"/>
  <c r="H109" i="6"/>
  <c r="H110" i="6"/>
  <c r="H111" i="6"/>
  <c r="H112" i="6"/>
  <c r="H113" i="6"/>
  <c r="H114" i="6"/>
  <c r="H115" i="6"/>
  <c r="H116" i="6"/>
  <c r="H117" i="6"/>
  <c r="H118" i="6"/>
  <c r="H119" i="6"/>
  <c r="H120" i="6"/>
  <c r="H121" i="6"/>
  <c r="H122" i="6"/>
  <c r="H123" i="6"/>
  <c r="H124" i="6"/>
  <c r="H125" i="6"/>
  <c r="H126" i="6"/>
  <c r="H127" i="6"/>
  <c r="H128" i="6"/>
  <c r="H129" i="6"/>
  <c r="H130" i="6"/>
  <c r="H131" i="6"/>
  <c r="H132" i="6"/>
  <c r="H133" i="6"/>
  <c r="H134" i="6"/>
  <c r="H135" i="6"/>
  <c r="H136" i="6"/>
  <c r="H137" i="6"/>
  <c r="H138" i="6"/>
  <c r="H139" i="6"/>
  <c r="H140" i="6"/>
  <c r="H141" i="6"/>
  <c r="H142" i="6"/>
  <c r="H143" i="6"/>
  <c r="H144" i="6"/>
  <c r="H145" i="6"/>
  <c r="H146" i="6"/>
  <c r="H147" i="6"/>
  <c r="H148" i="6"/>
  <c r="H149" i="6"/>
  <c r="H150" i="6"/>
  <c r="H151" i="6"/>
  <c r="H152" i="6"/>
  <c r="H153" i="6"/>
  <c r="H154" i="6"/>
  <c r="H155" i="6"/>
  <c r="H156" i="6"/>
  <c r="H157" i="6"/>
  <c r="H158" i="6"/>
  <c r="H159" i="6"/>
  <c r="H160" i="6"/>
  <c r="H161" i="6"/>
  <c r="H162" i="6"/>
  <c r="H163" i="6"/>
  <c r="H164" i="6"/>
  <c r="H165" i="6"/>
  <c r="H166" i="6"/>
  <c r="H167" i="6"/>
  <c r="H168" i="6"/>
  <c r="H169" i="6"/>
  <c r="H170" i="6"/>
  <c r="H171" i="6"/>
  <c r="H172" i="6"/>
  <c r="H173" i="6"/>
  <c r="H174" i="6"/>
  <c r="H175" i="6"/>
  <c r="H176" i="6"/>
  <c r="H177" i="6"/>
  <c r="H178" i="6"/>
  <c r="H179" i="6"/>
  <c r="H180" i="6"/>
  <c r="H181" i="6"/>
  <c r="H182" i="6"/>
  <c r="H183" i="6"/>
  <c r="H184" i="6"/>
  <c r="H185" i="6"/>
  <c r="H186" i="6"/>
  <c r="H187" i="6"/>
  <c r="H188" i="6"/>
  <c r="H189" i="6"/>
  <c r="H190" i="6"/>
  <c r="H191" i="6"/>
  <c r="H192" i="6"/>
  <c r="H193" i="6"/>
  <c r="H194" i="6"/>
  <c r="H195" i="6"/>
  <c r="H196" i="6"/>
  <c r="H197" i="6"/>
  <c r="H198" i="6"/>
  <c r="H199" i="6"/>
  <c r="H200" i="6"/>
  <c r="H201" i="6"/>
  <c r="H202" i="6"/>
  <c r="H203" i="6"/>
  <c r="H204" i="6"/>
  <c r="H205" i="6"/>
  <c r="H206" i="6"/>
  <c r="H207" i="6"/>
  <c r="H208" i="6"/>
  <c r="H209" i="6"/>
  <c r="H210" i="6"/>
  <c r="H211" i="6"/>
  <c r="H212" i="6"/>
  <c r="H213" i="6"/>
  <c r="H214" i="6"/>
  <c r="H215" i="6"/>
  <c r="H216" i="6"/>
  <c r="H217" i="6"/>
  <c r="H218" i="6"/>
  <c r="H219" i="6"/>
  <c r="H220" i="6"/>
  <c r="H221" i="6"/>
  <c r="H222" i="6"/>
  <c r="H223" i="6"/>
  <c r="H224" i="6"/>
  <c r="H225" i="6"/>
  <c r="H226" i="6"/>
  <c r="H227" i="6"/>
  <c r="H228" i="6"/>
  <c r="H229" i="6"/>
  <c r="H230" i="6"/>
  <c r="H231" i="6"/>
  <c r="H232" i="6"/>
  <c r="H233" i="6"/>
  <c r="H234" i="6"/>
  <c r="H235" i="6"/>
  <c r="H236" i="6"/>
  <c r="H237" i="6"/>
  <c r="H238" i="6"/>
  <c r="H239" i="6"/>
  <c r="H240" i="6"/>
  <c r="H241" i="6"/>
  <c r="H242" i="6"/>
  <c r="H243" i="6"/>
  <c r="H244" i="6"/>
  <c r="H245" i="6"/>
  <c r="H246" i="6"/>
  <c r="H247" i="6"/>
  <c r="H248" i="6"/>
  <c r="H249" i="6"/>
  <c r="H250" i="6"/>
  <c r="H251" i="6"/>
  <c r="H252" i="6"/>
  <c r="H253" i="6"/>
  <c r="H254" i="6"/>
  <c r="H255" i="6"/>
  <c r="H256" i="6"/>
  <c r="H257" i="6"/>
  <c r="H258" i="6"/>
  <c r="H259" i="6"/>
  <c r="H260" i="6"/>
  <c r="H261" i="6"/>
  <c r="H262" i="6"/>
  <c r="H263" i="6"/>
  <c r="H264" i="6"/>
  <c r="H265" i="6"/>
  <c r="H266" i="6"/>
  <c r="H267" i="6"/>
  <c r="H268" i="6"/>
  <c r="H269" i="6"/>
  <c r="H270" i="6"/>
  <c r="H271" i="6"/>
  <c r="H272" i="6"/>
  <c r="H273" i="6"/>
  <c r="H274" i="6"/>
  <c r="H275" i="6"/>
  <c r="H276" i="6"/>
  <c r="H277" i="6"/>
  <c r="H278" i="6"/>
  <c r="H279" i="6"/>
  <c r="H280" i="6"/>
  <c r="H281" i="6"/>
  <c r="H282" i="6"/>
  <c r="H283" i="6"/>
  <c r="H284" i="6"/>
  <c r="H285" i="6"/>
  <c r="H286" i="6"/>
  <c r="H287" i="6"/>
  <c r="H288" i="6"/>
  <c r="H289" i="6"/>
  <c r="H290" i="6"/>
  <c r="H291" i="6"/>
  <c r="H292" i="6"/>
  <c r="H293" i="6"/>
  <c r="H294" i="6"/>
  <c r="H295" i="6"/>
  <c r="H296" i="6"/>
  <c r="H297" i="6"/>
  <c r="H298" i="6"/>
  <c r="H299" i="6"/>
  <c r="H300" i="6"/>
  <c r="H301" i="6"/>
  <c r="H302" i="6"/>
  <c r="H303" i="6"/>
  <c r="H304" i="6"/>
  <c r="H305" i="6"/>
  <c r="H306" i="6"/>
  <c r="H307" i="6"/>
  <c r="H308" i="6"/>
  <c r="H309" i="6"/>
  <c r="H310" i="6"/>
  <c r="H311" i="6"/>
  <c r="H312" i="6"/>
  <c r="H313" i="6"/>
  <c r="H314" i="6"/>
  <c r="H315" i="6"/>
  <c r="H316" i="6"/>
  <c r="H317" i="6"/>
  <c r="H318" i="6"/>
  <c r="H319" i="6"/>
  <c r="H320" i="6"/>
  <c r="H321" i="6"/>
  <c r="H322" i="6"/>
  <c r="H323" i="6"/>
  <c r="H324" i="6"/>
  <c r="H325" i="6"/>
  <c r="H326" i="6"/>
  <c r="H327" i="6"/>
  <c r="H328" i="6"/>
  <c r="H329" i="6"/>
  <c r="H330" i="6"/>
  <c r="H331" i="6"/>
  <c r="H332" i="6"/>
  <c r="H333" i="6"/>
  <c r="H334" i="6"/>
  <c r="H335" i="6"/>
  <c r="H336" i="6"/>
  <c r="H337" i="6"/>
  <c r="H338" i="6"/>
  <c r="H339" i="6"/>
  <c r="H340" i="6"/>
  <c r="H341" i="6"/>
  <c r="H342" i="6"/>
  <c r="H343" i="6"/>
  <c r="H344" i="6"/>
  <c r="H345" i="6"/>
  <c r="H346" i="6"/>
  <c r="H347" i="6"/>
  <c r="H348" i="6"/>
  <c r="H349" i="6"/>
  <c r="H350" i="6"/>
  <c r="H351" i="6"/>
  <c r="H352" i="6"/>
  <c r="H353" i="6"/>
  <c r="H354" i="6"/>
  <c r="H355" i="6"/>
  <c r="H356" i="6"/>
  <c r="H357" i="6"/>
  <c r="H358" i="6"/>
  <c r="H359" i="6"/>
  <c r="H360" i="6"/>
  <c r="H361" i="6"/>
  <c r="H362" i="6"/>
  <c r="H363" i="6"/>
  <c r="H364" i="6"/>
  <c r="H365" i="6"/>
  <c r="H366" i="6"/>
  <c r="H367" i="6"/>
  <c r="H368" i="6"/>
  <c r="H369" i="6"/>
  <c r="H370" i="6"/>
  <c r="H371" i="6"/>
  <c r="H372" i="6"/>
  <c r="H373" i="6"/>
  <c r="H374" i="6"/>
  <c r="H375" i="6"/>
  <c r="H376" i="6"/>
  <c r="H377" i="6"/>
  <c r="H378" i="6"/>
  <c r="H379" i="6"/>
  <c r="H380" i="6"/>
  <c r="H381" i="6"/>
  <c r="H382" i="6"/>
  <c r="H383" i="6"/>
  <c r="H384" i="6"/>
  <c r="H385" i="6"/>
  <c r="H386" i="6"/>
  <c r="H387" i="6"/>
  <c r="H388" i="6"/>
  <c r="H389" i="6"/>
  <c r="H390" i="6"/>
  <c r="H391" i="6"/>
  <c r="H392" i="6"/>
  <c r="H393" i="6"/>
  <c r="H394" i="6"/>
  <c r="H395" i="6"/>
  <c r="H396" i="6"/>
  <c r="H397" i="6"/>
  <c r="H398" i="6"/>
  <c r="H399" i="6"/>
  <c r="H400" i="6"/>
  <c r="H401" i="6"/>
  <c r="H402" i="6"/>
  <c r="H403" i="6"/>
  <c r="H404" i="6"/>
  <c r="H405" i="6"/>
  <c r="H406" i="6"/>
  <c r="H407" i="6"/>
  <c r="H408" i="6"/>
  <c r="H409" i="6"/>
  <c r="H410" i="6"/>
  <c r="H411" i="6"/>
  <c r="H412" i="6"/>
  <c r="H413" i="6"/>
  <c r="H414" i="6"/>
  <c r="H415" i="6"/>
  <c r="H416" i="6"/>
  <c r="H417" i="6"/>
  <c r="H418" i="6"/>
  <c r="H419" i="6"/>
  <c r="H420" i="6"/>
  <c r="H421" i="6"/>
  <c r="H422" i="6"/>
  <c r="H423" i="6"/>
  <c r="H424" i="6"/>
  <c r="H425" i="6"/>
  <c r="H426" i="6"/>
  <c r="H427" i="6"/>
  <c r="H428" i="6"/>
  <c r="H429" i="6"/>
  <c r="H430" i="6"/>
  <c r="H431" i="6"/>
  <c r="H432" i="6"/>
  <c r="H433" i="6"/>
  <c r="H434" i="6"/>
  <c r="H435" i="6"/>
  <c r="H436" i="6"/>
  <c r="H437" i="6"/>
  <c r="H438" i="6"/>
  <c r="H439" i="6"/>
  <c r="H440" i="6"/>
  <c r="H441" i="6"/>
  <c r="H442" i="6"/>
  <c r="H443" i="6"/>
  <c r="H444" i="6"/>
  <c r="H445" i="6"/>
  <c r="H446" i="6"/>
  <c r="H447" i="6"/>
  <c r="H448" i="6"/>
  <c r="H449" i="6"/>
  <c r="H450" i="6"/>
  <c r="H451" i="6"/>
  <c r="H452" i="6"/>
  <c r="H453" i="6"/>
  <c r="H454" i="6"/>
  <c r="H455" i="6"/>
  <c r="H456" i="6"/>
  <c r="H457" i="6"/>
  <c r="H458" i="6"/>
  <c r="H459" i="6"/>
  <c r="H460" i="6"/>
  <c r="H461" i="6"/>
  <c r="H462" i="6"/>
  <c r="H463" i="6"/>
  <c r="H464" i="6"/>
  <c r="H465" i="6"/>
  <c r="H466" i="6"/>
  <c r="H467" i="6"/>
  <c r="H468" i="6"/>
  <c r="H469" i="6"/>
  <c r="H470" i="6"/>
  <c r="H471" i="6"/>
  <c r="H472" i="6"/>
  <c r="H473" i="6"/>
  <c r="H474" i="6"/>
  <c r="H475" i="6"/>
  <c r="H476" i="6"/>
  <c r="H477" i="6"/>
  <c r="H478" i="6"/>
  <c r="H479" i="6"/>
  <c r="H480" i="6"/>
  <c r="H481" i="6"/>
  <c r="H482" i="6"/>
  <c r="H483" i="6"/>
  <c r="H484" i="6"/>
  <c r="H485" i="6"/>
  <c r="H486" i="6"/>
  <c r="H487" i="6"/>
  <c r="H488" i="6"/>
  <c r="H489" i="6"/>
  <c r="H490" i="6"/>
  <c r="H491" i="6"/>
  <c r="H492" i="6"/>
  <c r="H493" i="6"/>
  <c r="H494" i="6"/>
  <c r="H495" i="6"/>
  <c r="H496" i="6"/>
  <c r="H497" i="6"/>
  <c r="H498" i="6"/>
  <c r="H499" i="6"/>
  <c r="H500" i="6"/>
  <c r="H501" i="6"/>
  <c r="H502" i="6"/>
  <c r="H503" i="6"/>
  <c r="H504" i="6"/>
  <c r="H505" i="6"/>
  <c r="H506" i="6"/>
  <c r="H507" i="6"/>
  <c r="H508" i="6"/>
  <c r="H509" i="6"/>
  <c r="H510" i="6"/>
  <c r="H511" i="6"/>
  <c r="H512" i="6"/>
  <c r="H513" i="6"/>
  <c r="H514" i="6"/>
  <c r="H515" i="6"/>
  <c r="H516" i="6"/>
  <c r="H517" i="6"/>
  <c r="H518" i="6"/>
  <c r="H519" i="6"/>
  <c r="H520" i="6"/>
  <c r="H521" i="6"/>
  <c r="H522" i="6"/>
  <c r="H523" i="6"/>
  <c r="H524" i="6"/>
  <c r="H525" i="6"/>
  <c r="H526" i="6"/>
  <c r="H527" i="6"/>
  <c r="H528" i="6"/>
  <c r="H529" i="6"/>
  <c r="H530" i="6"/>
  <c r="H531" i="6"/>
  <c r="H532" i="6"/>
  <c r="H533" i="6"/>
  <c r="H534" i="6"/>
  <c r="H535" i="6"/>
  <c r="H536" i="6"/>
  <c r="H537" i="6"/>
  <c r="H538" i="6"/>
  <c r="H539" i="6"/>
  <c r="H540" i="6"/>
  <c r="H541" i="6"/>
  <c r="H542" i="6"/>
  <c r="H543" i="6"/>
  <c r="H544" i="6"/>
  <c r="H545" i="6"/>
  <c r="H546" i="6"/>
  <c r="H547" i="6"/>
  <c r="H548" i="6"/>
  <c r="H549" i="6"/>
  <c r="C2" i="4" l="1"/>
</calcChain>
</file>

<file path=xl/sharedStrings.xml><?xml version="1.0" encoding="utf-8"?>
<sst xmlns="http://schemas.openxmlformats.org/spreadsheetml/2006/main" count="3386" uniqueCount="41">
  <si>
    <t>order_id</t>
  </si>
  <si>
    <t xml:space="preserve"> order_date</t>
  </si>
  <si>
    <t xml:space="preserve"> ship_date</t>
  </si>
  <si>
    <t xml:space="preserve"> delivery_time_days </t>
  </si>
  <si>
    <t xml:space="preserve">warehouse </t>
  </si>
  <si>
    <t>carrier</t>
  </si>
  <si>
    <t>on_time</t>
  </si>
  <si>
    <t>on_time_flag</t>
  </si>
  <si>
    <t>A</t>
  </si>
  <si>
    <t>FedEx</t>
  </si>
  <si>
    <t>Yes</t>
  </si>
  <si>
    <t>C</t>
  </si>
  <si>
    <t>UPS</t>
  </si>
  <si>
    <t>No</t>
  </si>
  <si>
    <t>B</t>
  </si>
  <si>
    <t>DHL</t>
  </si>
  <si>
    <t>Date</t>
  </si>
  <si>
    <t>Issue</t>
  </si>
  <si>
    <t>Action Taken</t>
  </si>
  <si>
    <t>Notes</t>
  </si>
  <si>
    <t>23/11/25</t>
  </si>
  <si>
    <t>Verified if date values were numeric</t>
  </si>
  <si>
    <t>Applied ISNUMBER()</t>
  </si>
  <si>
    <t>All values are valid</t>
  </si>
  <si>
    <t>Inconsistent date formatting</t>
  </si>
  <si>
    <t>Used Text to split
then changed date
format</t>
  </si>
  <si>
    <t xml:space="preserve">Order and Ship dates are aligned
and standardised </t>
  </si>
  <si>
    <t>Verified if Delivery
Time is a number</t>
  </si>
  <si>
    <t xml:space="preserve">Used text to split </t>
  </si>
  <si>
    <t>Ready for analysis</t>
  </si>
  <si>
    <t>Confirm delivery
duration accuracy</t>
  </si>
  <si>
    <t>Compared with
dynamic formula</t>
  </si>
  <si>
    <t>Values confirmed
correct</t>
  </si>
  <si>
    <t>Total Orders</t>
  </si>
  <si>
    <t>Overall On-Time%</t>
  </si>
  <si>
    <t>Avarage Delivery Days</t>
  </si>
  <si>
    <t>Average of on_time_flag</t>
  </si>
  <si>
    <t>Grand Total</t>
  </si>
  <si>
    <t xml:space="preserve">Average of  delivery_time_days </t>
  </si>
  <si>
    <t>Count of order_id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</si>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</sst>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9]d\-mmm\-yy;@"/>
    <numFmt numFmtId="165" formatCode="0.0%"/>
    <numFmt numFmtId="166" formatCode="0.0"/>
  </numFmts>
  <fonts count="2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000000"/>
      <name val="Calibri"/>
      <scheme val="minor"/>
    </font>
    <font>
      <sz val="16"/>
      <color rgb="FF000000"/>
      <name val="Calibri"/>
      <scheme val="minor"/>
    </font>
    <font>
      <b/>
      <sz val="16"/>
      <color theme="5" tint="-0.499984740745262"/>
      <name val="Calibri"/>
      <scheme val="minor"/>
    </font>
    <font>
      <b/>
      <sz val="18"/>
      <color theme="5" tint="-0.499984740745262"/>
      <name val="Calibri"/>
      <scheme val="minor"/>
    </font>
    <font>
      <b/>
      <sz val="18"/>
      <color rgb="FFFF0000"/>
      <name val="Calibri"/>
      <family val="2"/>
      <scheme val="minor"/>
    </font>
    <font>
      <b/>
      <sz val="20"/>
      <color theme="4" tint="-0.249977111117893"/>
      <name val="Calibri"/>
      <family val="2"/>
      <scheme val="minor"/>
    </font>
    <font>
      <b/>
      <sz val="20"/>
      <color rgb="FF00B05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theme="5" tint="-0.499984740745262"/>
      </left>
      <right/>
      <top style="thin">
        <color theme="5" tint="-0.499984740745262"/>
      </top>
      <bottom/>
      <diagonal/>
    </border>
    <border>
      <left/>
      <right style="thin">
        <color theme="5" tint="-0.499984740745262"/>
      </right>
      <top style="thin">
        <color theme="5" tint="-0.499984740745262"/>
      </top>
      <bottom/>
      <diagonal/>
    </border>
    <border>
      <left style="thin">
        <color theme="5" tint="-0.499984740745262"/>
      </left>
      <right/>
      <top/>
      <bottom/>
      <diagonal/>
    </border>
    <border>
      <left/>
      <right style="thin">
        <color theme="5" tint="-0.499984740745262"/>
      </right>
      <top/>
      <bottom/>
      <diagonal/>
    </border>
    <border>
      <left style="thin">
        <color theme="5" tint="-0.499984740745262"/>
      </left>
      <right/>
      <top/>
      <bottom style="thin">
        <color theme="5" tint="-0.499984740745262"/>
      </bottom>
      <diagonal/>
    </border>
    <border>
      <left/>
      <right style="thin">
        <color theme="5" tint="-0.499984740745262"/>
      </right>
      <top/>
      <bottom style="thin">
        <color theme="5" tint="-0.499984740745262"/>
      </bottom>
      <diagonal/>
    </border>
    <border>
      <left/>
      <right/>
      <top style="thin">
        <color theme="5" tint="-0.499984740745262"/>
      </top>
      <bottom/>
      <diagonal/>
    </border>
    <border>
      <left/>
      <right/>
      <top/>
      <bottom style="thin">
        <color theme="5" tint="-0.499984740745262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7">
    <xf numFmtId="0" fontId="0" fillId="0" borderId="0" xfId="0"/>
    <xf numFmtId="14" fontId="0" fillId="0" borderId="0" xfId="0" applyNumberFormat="1"/>
    <xf numFmtId="164" fontId="0" fillId="0" borderId="0" xfId="0" applyNumberFormat="1"/>
    <xf numFmtId="0" fontId="0" fillId="0" borderId="0" xfId="0" applyAlignment="1">
      <alignment wrapText="1"/>
    </xf>
    <xf numFmtId="0" fontId="0" fillId="0" borderId="0" xfId="0" pivotButton="1"/>
    <xf numFmtId="165" fontId="0" fillId="0" borderId="0" xfId="0" applyNumberFormat="1"/>
    <xf numFmtId="166" fontId="0" fillId="0" borderId="0" xfId="0" applyNumberFormat="1"/>
    <xf numFmtId="165" fontId="0" fillId="0" borderId="0" xfId="0" pivotButton="1" applyNumberFormat="1"/>
    <xf numFmtId="0" fontId="18" fillId="0" borderId="10" xfId="0" applyFont="1" applyBorder="1"/>
    <xf numFmtId="165" fontId="0" fillId="0" borderId="11" xfId="0" applyNumberFormat="1" applyBorder="1"/>
    <xf numFmtId="166" fontId="0" fillId="0" borderId="11" xfId="0" applyNumberFormat="1" applyBorder="1"/>
    <xf numFmtId="0" fontId="0" fillId="0" borderId="11" xfId="0" applyBorder="1"/>
    <xf numFmtId="0" fontId="0" fillId="0" borderId="0" xfId="0" applyFill="1" applyAlignment="1">
      <alignment horizontal="left" indent="52"/>
    </xf>
    <xf numFmtId="0" fontId="0" fillId="0" borderId="0" xfId="0" applyFill="1"/>
    <xf numFmtId="0" fontId="0" fillId="0" borderId="0" xfId="0" applyFill="1" applyAlignment="1">
      <alignment horizontal="left" indent="57"/>
    </xf>
    <xf numFmtId="0" fontId="0" fillId="0" borderId="0" xfId="0" applyFill="1" applyAlignment="1">
      <alignment horizontal="left" indent="25"/>
    </xf>
    <xf numFmtId="0" fontId="21" fillId="0" borderId="12" xfId="0" applyFont="1" applyFill="1" applyBorder="1" applyAlignment="1">
      <alignment horizontal="left" indent="3"/>
    </xf>
    <xf numFmtId="0" fontId="21" fillId="0" borderId="18" xfId="0" applyFont="1" applyFill="1" applyBorder="1" applyAlignment="1">
      <alignment horizontal="left" indent="3"/>
    </xf>
    <xf numFmtId="0" fontId="0" fillId="0" borderId="0" xfId="0" applyFill="1" applyAlignment="1">
      <alignment horizontal="left" indent="15"/>
    </xf>
    <xf numFmtId="0" fontId="21" fillId="0" borderId="14" xfId="0" applyFont="1" applyFill="1" applyBorder="1" applyAlignment="1">
      <alignment horizontal="left" indent="3"/>
    </xf>
    <xf numFmtId="0" fontId="21" fillId="0" borderId="0" xfId="0" applyFont="1" applyFill="1" applyBorder="1" applyAlignment="1">
      <alignment horizontal="left" indent="3"/>
    </xf>
    <xf numFmtId="0" fontId="23" fillId="0" borderId="16" xfId="0" applyFont="1" applyFill="1" applyBorder="1" applyAlignment="1">
      <alignment horizontal="left" vertical="center" indent="7"/>
    </xf>
    <xf numFmtId="0" fontId="23" fillId="0" borderId="19" xfId="0" applyFont="1" applyFill="1" applyBorder="1" applyAlignment="1">
      <alignment horizontal="left" vertical="center" indent="7"/>
    </xf>
    <xf numFmtId="165" fontId="22" fillId="0" borderId="16" xfId="0" applyNumberFormat="1" applyFont="1" applyFill="1" applyBorder="1" applyAlignment="1">
      <alignment horizontal="left" indent="6"/>
    </xf>
    <xf numFmtId="165" fontId="22" fillId="0" borderId="19" xfId="0" applyNumberFormat="1" applyFont="1" applyFill="1" applyBorder="1" applyAlignment="1">
      <alignment horizontal="left" indent="6"/>
    </xf>
    <xf numFmtId="166" fontId="24" fillId="0" borderId="16" xfId="0" applyNumberFormat="1" applyFont="1" applyFill="1" applyBorder="1" applyAlignment="1">
      <alignment horizontal="left" indent="7"/>
    </xf>
    <xf numFmtId="166" fontId="24" fillId="0" borderId="17" xfId="0" applyNumberFormat="1" applyFont="1" applyFill="1" applyBorder="1" applyAlignment="1">
      <alignment horizontal="left" indent="7"/>
    </xf>
    <xf numFmtId="0" fontId="19" fillId="0" borderId="0" xfId="0" applyFont="1" applyFill="1" applyAlignment="1">
      <alignment horizontal="left" indent="52"/>
    </xf>
    <xf numFmtId="0" fontId="0" fillId="0" borderId="0" xfId="0" applyNumberFormat="1"/>
    <xf numFmtId="0" fontId="21" fillId="0" borderId="12" xfId="0" applyFont="1" applyFill="1" applyBorder="1" applyAlignment="1"/>
    <xf numFmtId="0" fontId="21" fillId="0" borderId="18" xfId="0" applyFont="1" applyFill="1" applyBorder="1" applyAlignment="1"/>
    <xf numFmtId="0" fontId="20" fillId="0" borderId="12" xfId="0" applyFont="1" applyFill="1" applyBorder="1" applyAlignment="1"/>
    <xf numFmtId="0" fontId="20" fillId="0" borderId="13" xfId="0" applyFont="1" applyFill="1" applyBorder="1" applyAlignment="1"/>
    <xf numFmtId="0" fontId="21" fillId="0" borderId="14" xfId="0" applyFont="1" applyFill="1" applyBorder="1" applyAlignment="1"/>
    <xf numFmtId="0" fontId="21" fillId="0" borderId="0" xfId="0" applyFont="1" applyFill="1" applyBorder="1" applyAlignment="1"/>
    <xf numFmtId="0" fontId="20" fillId="0" borderId="14" xfId="0" applyFont="1" applyFill="1" applyBorder="1" applyAlignment="1"/>
    <xf numFmtId="0" fontId="20" fillId="0" borderId="15" xfId="0" applyFont="1" applyFill="1" applyBorder="1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1"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0000"/>
      </font>
      <fill>
        <patternFill patternType="solid"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0000"/>
      </font>
      <fill>
        <patternFill patternType="solid">
          <bgColor rgb="FFFFC7CE"/>
        </patternFill>
      </fill>
    </dxf>
    <dxf>
      <numFmt numFmtId="0" formatCode="General"/>
    </dxf>
    <dxf>
      <numFmt numFmtId="164" formatCode="[$-409]d\-mmm\-yy;@"/>
    </dxf>
    <dxf>
      <numFmt numFmtId="164" formatCode="[$-409]d\-mmm\-yy;@"/>
    </dxf>
    <dxf>
      <numFmt numFmtId="165" formatCode="0.0%"/>
    </dxf>
    <dxf>
      <numFmt numFmtId="165" formatCode="0.0%"/>
    </dxf>
    <dxf>
      <numFmt numFmtId="166" formatCode="0.0"/>
    </dxf>
    <dxf>
      <numFmt numFmtId="166" formatCode="0.0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6" formatCode="0.0"/>
    </dxf>
    <dxf>
      <numFmt numFmtId="166" formatCode="0.0"/>
    </dxf>
    <dxf>
      <numFmt numFmtId="166" formatCode="0.0"/>
    </dxf>
    <dxf>
      <numFmt numFmtId="166" formatCode="0.0"/>
    </dxf>
    <dxf>
      <numFmt numFmtId="165" formatCode="0.0%"/>
    </dxf>
    <dxf>
      <numFmt numFmtId="165" formatCode="0.0%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[MiniEcom_Logistics_Project_Sifanele.xlsx]Pivot - Carrier On-Time%!PivotTable1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FF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Carrier On Time Percentage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FF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637CEF"/>
          </a:solidFill>
          <a:ln>
            <a:noFill/>
          </a:ln>
          <a:effectLst/>
        </c:spPr>
        <c:marker>
          <c:symbol val="circle"/>
          <c:size val="5"/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- Carrier On-Time%'!$B$2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f>'Pivot - Carrier On-Time%'!$A$3:$A$6</c:f>
              <c:strCache>
                <c:ptCount val="3"/>
                <c:pt idx="0">
                  <c:v>DHL</c:v>
                </c:pt>
                <c:pt idx="1">
                  <c:v>UPS</c:v>
                </c:pt>
                <c:pt idx="2">
                  <c:v>FedEx</c:v>
                </c:pt>
              </c:strCache>
            </c:strRef>
          </c:cat>
          <c:val>
            <c:numRef>
              <c:f>'Pivot - Carrier On-Time%'!$B$3:$B$6</c:f>
              <c:numCache>
                <c:formatCode>0.0%</c:formatCode>
                <c:ptCount val="3"/>
                <c:pt idx="0">
                  <c:v>0.62804878048780488</c:v>
                </c:pt>
                <c:pt idx="1">
                  <c:v>0.62765957446808507</c:v>
                </c:pt>
                <c:pt idx="2">
                  <c:v>0.58163265306122447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12D-4AC4-B3C0-A1FBE7CE59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664085512"/>
        <c:axId val="664087560"/>
      </c:barChart>
      <c:catAx>
        <c:axId val="6640855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4087560"/>
        <c:crosses val="autoZero"/>
        <c:auto val="1"/>
        <c:lblAlgn val="ctr"/>
        <c:lblOffset val="100"/>
        <c:noMultiLvlLbl val="0"/>
      </c:catAx>
      <c:valAx>
        <c:axId val="664087560"/>
        <c:scaling>
          <c:orientation val="minMax"/>
        </c:scaling>
        <c:delete val="0"/>
        <c:axPos val="l"/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40855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[MiniEcom_Logistics_Project_Sifanele.xlsx]Pivot - Avg Delivery Days!PivotTable2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FF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Nr of Days per Delivery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FF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00B05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- Avg Delivery Days'!$B$2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Ref>
              <c:f>'Pivot - Avg Delivery Days'!$A$3:$A$6</c:f>
              <c:strCache>
                <c:ptCount val="3"/>
                <c:pt idx="0">
                  <c:v>FedEx</c:v>
                </c:pt>
                <c:pt idx="1">
                  <c:v>DHL</c:v>
                </c:pt>
                <c:pt idx="2">
                  <c:v>UPS</c:v>
                </c:pt>
              </c:strCache>
            </c:strRef>
          </c:cat>
          <c:val>
            <c:numRef>
              <c:f>'Pivot - Avg Delivery Days'!$B$3:$B$6</c:f>
              <c:numCache>
                <c:formatCode>0.0</c:formatCode>
                <c:ptCount val="3"/>
                <c:pt idx="0">
                  <c:v>3.0357142857142856</c:v>
                </c:pt>
                <c:pt idx="1">
                  <c:v>2.9085365853658538</c:v>
                </c:pt>
                <c:pt idx="2">
                  <c:v>2.8989361702127661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7E1-40D8-B740-D2DCCB6196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3"/>
        <c:overlap val="-30"/>
        <c:axId val="1476386312"/>
        <c:axId val="556935687"/>
      </c:barChart>
      <c:catAx>
        <c:axId val="147638631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Carrier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6935687"/>
        <c:crosses val="autoZero"/>
        <c:auto val="1"/>
        <c:lblAlgn val="ctr"/>
        <c:lblOffset val="100"/>
        <c:noMultiLvlLbl val="0"/>
      </c:catAx>
      <c:valAx>
        <c:axId val="5569356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Days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63863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[MiniEcom_Logistics_Project_Sifanele.xlsx]Pivot - Warehouse vs Carrier!PivotTable3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FF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Carrier Performance By Warehouse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FF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rgbClr val="FFFF00"/>
          </a:solidFill>
          <a:ln w="19050">
            <a:solidFill>
              <a:srgbClr val="FF0000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rgbClr val="7030A0"/>
          </a:solidFill>
          <a:ln w="19050">
            <a:solidFill>
              <a:srgbClr val="FFC000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rgbClr val="000000"/>
          </a:solidFill>
          <a:ln w="28575">
            <a:solidFill>
              <a:srgbClr val="FFFF00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- Warehouse vs Carrier'!$B$2:$B$3</c:f>
              <c:strCache>
                <c:ptCount val="1"/>
                <c:pt idx="0">
                  <c:v>DHL</c:v>
                </c:pt>
              </c:strCache>
            </c:strRef>
          </c:tx>
          <c:spPr>
            <a:solidFill>
              <a:srgbClr val="FFFF00"/>
            </a:solidFill>
            <a:ln w="19050">
              <a:solidFill>
                <a:srgbClr val="FF0000"/>
              </a:solidFill>
              <a:prstDash val="solid"/>
            </a:ln>
            <a:effectLst/>
          </c:spPr>
          <c:invertIfNegative val="0"/>
          <c:cat>
            <c:strRef>
              <c:f>'Pivot - Warehouse vs Carrier'!$A$4:$A$7</c:f>
              <c:strCache>
                <c:ptCount val="3"/>
                <c:pt idx="0">
                  <c:v>A</c:v>
                </c:pt>
                <c:pt idx="1">
                  <c:v>B</c:v>
                </c:pt>
                <c:pt idx="2">
                  <c:v>C</c:v>
                </c:pt>
              </c:strCache>
            </c:strRef>
          </c:cat>
          <c:val>
            <c:numRef>
              <c:f>'Pivot - Warehouse vs Carrier'!$B$4:$B$7</c:f>
              <c:numCache>
                <c:formatCode>0.0%</c:formatCode>
                <c:ptCount val="3"/>
                <c:pt idx="0">
                  <c:v>0.73469387755102045</c:v>
                </c:pt>
                <c:pt idx="1">
                  <c:v>0.57692307692307687</c:v>
                </c:pt>
                <c:pt idx="2">
                  <c:v>0.58730158730158732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D0D-4B7F-8E41-FAA1DFB9CC12}"/>
            </c:ext>
          </c:extLst>
        </c:ser>
        <c:ser>
          <c:idx val="1"/>
          <c:order val="1"/>
          <c:tx>
            <c:strRef>
              <c:f>'Pivot - Warehouse vs Carrier'!$C$2:$C$3</c:f>
              <c:strCache>
                <c:ptCount val="1"/>
                <c:pt idx="0">
                  <c:v>FedEx</c:v>
                </c:pt>
              </c:strCache>
            </c:strRef>
          </c:tx>
          <c:spPr>
            <a:solidFill>
              <a:srgbClr val="7030A0"/>
            </a:solidFill>
            <a:ln w="19050">
              <a:solidFill>
                <a:srgbClr val="FFC000"/>
              </a:solidFill>
              <a:prstDash val="solid"/>
            </a:ln>
            <a:effectLst/>
          </c:spPr>
          <c:invertIfNegative val="0"/>
          <c:cat>
            <c:strRef>
              <c:f>'Pivot - Warehouse vs Carrier'!$A$4:$A$7</c:f>
              <c:strCache>
                <c:ptCount val="3"/>
                <c:pt idx="0">
                  <c:v>A</c:v>
                </c:pt>
                <c:pt idx="1">
                  <c:v>B</c:v>
                </c:pt>
                <c:pt idx="2">
                  <c:v>C</c:v>
                </c:pt>
              </c:strCache>
            </c:strRef>
          </c:cat>
          <c:val>
            <c:numRef>
              <c:f>'Pivot - Warehouse vs Carrier'!$C$4:$C$7</c:f>
              <c:numCache>
                <c:formatCode>0.0%</c:formatCode>
                <c:ptCount val="3"/>
                <c:pt idx="0">
                  <c:v>0.58461538461538465</c:v>
                </c:pt>
                <c:pt idx="1">
                  <c:v>0.55932203389830504</c:v>
                </c:pt>
                <c:pt idx="2">
                  <c:v>0.59722222222222221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D0D-4B7F-8E41-FAA1DFB9CC12}"/>
            </c:ext>
          </c:extLst>
        </c:ser>
        <c:ser>
          <c:idx val="2"/>
          <c:order val="2"/>
          <c:tx>
            <c:strRef>
              <c:f>'Pivot - Warehouse vs Carrier'!$D$2:$D$3</c:f>
              <c:strCache>
                <c:ptCount val="1"/>
                <c:pt idx="0">
                  <c:v>UPS</c:v>
                </c:pt>
              </c:strCache>
            </c:strRef>
          </c:tx>
          <c:spPr>
            <a:solidFill>
              <a:srgbClr val="000000"/>
            </a:solidFill>
            <a:ln w="28575">
              <a:solidFill>
                <a:srgbClr val="FFFF00"/>
              </a:solidFill>
              <a:prstDash val="solid"/>
            </a:ln>
            <a:effectLst/>
          </c:spPr>
          <c:invertIfNegative val="0"/>
          <c:cat>
            <c:strRef>
              <c:f>'Pivot - Warehouse vs Carrier'!$A$4:$A$7</c:f>
              <c:strCache>
                <c:ptCount val="3"/>
                <c:pt idx="0">
                  <c:v>A</c:v>
                </c:pt>
                <c:pt idx="1">
                  <c:v>B</c:v>
                </c:pt>
                <c:pt idx="2">
                  <c:v>C</c:v>
                </c:pt>
              </c:strCache>
            </c:strRef>
          </c:cat>
          <c:val>
            <c:numRef>
              <c:f>'Pivot - Warehouse vs Carrier'!$D$4:$D$7</c:f>
              <c:numCache>
                <c:formatCode>0.0%</c:formatCode>
                <c:ptCount val="3"/>
                <c:pt idx="0">
                  <c:v>0.72727272727272729</c:v>
                </c:pt>
                <c:pt idx="1">
                  <c:v>0.62686567164179108</c:v>
                </c:pt>
                <c:pt idx="2">
                  <c:v>0.54545454545454541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D0D-4B7F-8E41-FAA1DFB9CC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60"/>
        <c:overlap val="-30"/>
        <c:axId val="819705352"/>
        <c:axId val="1591220744"/>
      </c:barChart>
      <c:catAx>
        <c:axId val="81970535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Warehouse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1220744"/>
        <c:crosses val="autoZero"/>
        <c:auto val="1"/>
        <c:lblAlgn val="ctr"/>
        <c:lblOffset val="100"/>
        <c:noMultiLvlLbl val="0"/>
      </c:catAx>
      <c:valAx>
        <c:axId val="159122074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OTIF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9705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[MiniEcom_Logistics_Project_Sifanele.xlsx]Reference Pivots!PivotTable4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FF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Number of Orders Per Warehouse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FF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637CEF"/>
          </a:solidFill>
          <a:ln>
            <a:noFill/>
          </a:ln>
          <a:effectLst/>
        </c:spPr>
        <c:marker>
          <c:symbol val="circle"/>
          <c:size val="5"/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30549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'Reference Pivots'!$B$2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305496"/>
            </a:solidFill>
            <a:ln>
              <a:noFill/>
            </a:ln>
            <a:effectLst/>
          </c:spPr>
          <c:invertIfNegative val="0"/>
          <c:cat>
            <c:strRef>
              <c:f>'Reference Pivots'!$A$3:$A$6</c:f>
              <c:strCache>
                <c:ptCount val="3"/>
                <c:pt idx="0">
                  <c:v>A</c:v>
                </c:pt>
                <c:pt idx="1">
                  <c:v>B</c:v>
                </c:pt>
                <c:pt idx="2">
                  <c:v>C</c:v>
                </c:pt>
              </c:strCache>
            </c:strRef>
          </c:cat>
          <c:val>
            <c:numRef>
              <c:f>'Reference Pivots'!$B$3:$B$6</c:f>
              <c:numCache>
                <c:formatCode>General</c:formatCode>
                <c:ptCount val="3"/>
                <c:pt idx="0">
                  <c:v>169</c:v>
                </c:pt>
                <c:pt idx="1">
                  <c:v>178</c:v>
                </c:pt>
                <c:pt idx="2">
                  <c:v>201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A05-4B17-BC5C-45DC63569F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711349256"/>
        <c:axId val="956229128"/>
      </c:barChart>
      <c:catAx>
        <c:axId val="171134925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Warehouse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6229128"/>
        <c:crosses val="autoZero"/>
        <c:auto val="1"/>
        <c:lblAlgn val="ctr"/>
        <c:lblOffset val="100"/>
        <c:noMultiLvlLbl val="0"/>
      </c:catAx>
      <c:valAx>
        <c:axId val="95622912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rgbClr val="595959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Order Count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rgbClr val="595959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13492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[MiniEcom_Logistics_Project_Sifanele.xlsx]Reference Pivots!PivotTable3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FF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Warehouse OTIF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FF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637CEF"/>
          </a:solidFill>
          <a:ln>
            <a:noFill/>
          </a:ln>
          <a:effectLst/>
        </c:spPr>
        <c:marker>
          <c:symbol val="circle"/>
          <c:size val="5"/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'Reference Pivots'!$B$10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f>'Reference Pivots'!$A$11:$A$14</c:f>
              <c:strCache>
                <c:ptCount val="3"/>
                <c:pt idx="0">
                  <c:v>A</c:v>
                </c:pt>
                <c:pt idx="1">
                  <c:v>B</c:v>
                </c:pt>
                <c:pt idx="2">
                  <c:v>C</c:v>
                </c:pt>
              </c:strCache>
            </c:strRef>
          </c:cat>
          <c:val>
            <c:numRef>
              <c:f>'Reference Pivots'!$B$11:$B$14</c:f>
              <c:numCache>
                <c:formatCode>0.0%</c:formatCode>
                <c:ptCount val="3"/>
                <c:pt idx="0">
                  <c:v>0.67455621301775148</c:v>
                </c:pt>
                <c:pt idx="1">
                  <c:v>0.5898876404494382</c:v>
                </c:pt>
                <c:pt idx="2">
                  <c:v>0.57711442786069655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8AD-4598-8C3F-3CEDDBF118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7451527"/>
        <c:axId val="57461767"/>
      </c:barChart>
      <c:catAx>
        <c:axId val="574515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461767"/>
        <c:crosses val="autoZero"/>
        <c:auto val="1"/>
        <c:lblAlgn val="ctr"/>
        <c:lblOffset val="100"/>
        <c:noMultiLvlLbl val="0"/>
      </c:catAx>
      <c:valAx>
        <c:axId val="574617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4515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[MiniEcom_Logistics_Project_Sifanele.xlsx]Reference Pivots!PivotTable5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FF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Warehouse Speed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FF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00B05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'Reference Pivots'!$B$17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Ref>
              <c:f>'Reference Pivots'!$A$18:$A$21</c:f>
              <c:strCache>
                <c:ptCount val="3"/>
                <c:pt idx="0">
                  <c:v>B</c:v>
                </c:pt>
                <c:pt idx="1">
                  <c:v>C</c:v>
                </c:pt>
                <c:pt idx="2">
                  <c:v>A</c:v>
                </c:pt>
              </c:strCache>
            </c:strRef>
          </c:cat>
          <c:val>
            <c:numRef>
              <c:f>'Reference Pivots'!$B$18:$B$21</c:f>
              <c:numCache>
                <c:formatCode>0.0</c:formatCode>
                <c:ptCount val="3"/>
                <c:pt idx="0">
                  <c:v>3.0617977528089888</c:v>
                </c:pt>
                <c:pt idx="1">
                  <c:v>2.9900497512437809</c:v>
                </c:pt>
                <c:pt idx="2">
                  <c:v>2.7869822485207099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64-4347-88F3-BD564FB8E5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083610632"/>
        <c:axId val="2083612680"/>
      </c:barChart>
      <c:catAx>
        <c:axId val="208361063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3612680"/>
        <c:crosses val="autoZero"/>
        <c:auto val="1"/>
        <c:lblAlgn val="ctr"/>
        <c:lblOffset val="100"/>
        <c:noMultiLvlLbl val="0"/>
      </c:catAx>
      <c:valAx>
        <c:axId val="2083612680"/>
        <c:scaling>
          <c:orientation val="minMax"/>
        </c:scaling>
        <c:delete val="0"/>
        <c:axPos val="b"/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36106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5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1</xdr:row>
      <xdr:rowOff>161925</xdr:rowOff>
    </xdr:from>
    <xdr:to>
      <xdr:col>17</xdr:col>
      <xdr:colOff>19050</xdr:colOff>
      <xdr:row>36</xdr:row>
      <xdr:rowOff>123825</xdr:rowOff>
    </xdr:to>
    <xdr:sp macro="" textlink="">
      <xdr:nvSpPr>
        <xdr:cNvPr id="9" name="Rounded Rectangle 8">
          <a:extLst>
            <a:ext uri="{FF2B5EF4-FFF2-40B4-BE49-F238E27FC236}">
              <a16:creationId xmlns:a16="http://schemas.microsoft.com/office/drawing/2014/main" id="{354CE438-13D9-46F2-A12F-63C766D33144}"/>
            </a:ext>
            <a:ext uri="{147F2762-F138-4A5C-976F-8EAC2B608ADB}">
              <a16:predDERef xmlns:a16="http://schemas.microsoft.com/office/drawing/2014/main" pred="{D396D57F-99E2-C9F2-DBE0-5539B92F81C8}"/>
            </a:ext>
          </a:extLst>
        </xdr:cNvPr>
        <xdr:cNvSpPr/>
      </xdr:nvSpPr>
      <xdr:spPr>
        <a:xfrm>
          <a:off x="9458325" y="428625"/>
          <a:ext cx="3848100" cy="6772275"/>
        </a:xfrm>
        <a:prstGeom prst="roundRect">
          <a:avLst/>
        </a:prstGeom>
        <a:solidFill>
          <a:schemeClr val="bg1"/>
        </a:solidFill>
        <a:ln>
          <a:solidFill>
            <a:schemeClr val="accent2">
              <a:lumMod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endParaRPr lang="en-US" sz="1100" b="0" i="0" u="none" strike="noStrike">
            <a:solidFill>
              <a:schemeClr val="lt1"/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twoCellAnchor>
    <xdr:from>
      <xdr:col>0</xdr:col>
      <xdr:colOff>95250</xdr:colOff>
      <xdr:row>1</xdr:row>
      <xdr:rowOff>133350</xdr:rowOff>
    </xdr:from>
    <xdr:to>
      <xdr:col>4</xdr:col>
      <xdr:colOff>409575</xdr:colOff>
      <xdr:row>36</xdr:row>
      <xdr:rowOff>47625</xdr:rowOff>
    </xdr:to>
    <xdr:sp macro="" textlink="">
      <xdr:nvSpPr>
        <xdr:cNvPr id="8" name="Rounded Rectangle 7">
          <a:extLst>
            <a:ext uri="{FF2B5EF4-FFF2-40B4-BE49-F238E27FC236}">
              <a16:creationId xmlns:a16="http://schemas.microsoft.com/office/drawing/2014/main" id="{4864F02C-17BA-163A-9A81-A76060FAE477}"/>
            </a:ext>
            <a:ext uri="{147F2762-F138-4A5C-976F-8EAC2B608ADB}">
              <a16:predDERef xmlns:a16="http://schemas.microsoft.com/office/drawing/2014/main" pred="{354CE438-13D9-46F2-A12F-63C766D33144}"/>
            </a:ext>
          </a:extLst>
        </xdr:cNvPr>
        <xdr:cNvSpPr/>
      </xdr:nvSpPr>
      <xdr:spPr>
        <a:xfrm>
          <a:off x="95250" y="400050"/>
          <a:ext cx="4038600" cy="6724650"/>
        </a:xfrm>
        <a:prstGeom prst="roundRect">
          <a:avLst/>
        </a:prstGeom>
        <a:solidFill>
          <a:schemeClr val="bg1"/>
        </a:solidFill>
        <a:ln>
          <a:solidFill>
            <a:schemeClr val="accent2">
              <a:lumMod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endParaRPr lang="en-US" sz="1100" b="0" i="0" u="none" strike="noStrike">
            <a:solidFill>
              <a:schemeClr val="lt1"/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twoCellAnchor>
    <xdr:from>
      <xdr:col>0</xdr:col>
      <xdr:colOff>114300</xdr:colOff>
      <xdr:row>4</xdr:row>
      <xdr:rowOff>76200</xdr:rowOff>
    </xdr:from>
    <xdr:to>
      <xdr:col>4</xdr:col>
      <xdr:colOff>361950</xdr:colOff>
      <xdr:row>17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20D6597-E549-48F6-807A-961E1C298C6C}"/>
            </a:ext>
            <a:ext uri="{147F2762-F138-4A5C-976F-8EAC2B608ADB}">
              <a16:predDERef xmlns:a16="http://schemas.microsoft.com/office/drawing/2014/main" pred="{4864F02C-17BA-163A-9A81-A76060FAE47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114300</xdr:colOff>
      <xdr:row>18</xdr:row>
      <xdr:rowOff>104775</xdr:rowOff>
    </xdr:from>
    <xdr:to>
      <xdr:col>4</xdr:col>
      <xdr:colOff>381000</xdr:colOff>
      <xdr:row>31</xdr:row>
      <xdr:rowOff>95250</xdr:rowOff>
    </xdr:to>
    <xdr:graphicFrame macro="">
      <xdr:nvGraphicFramePr>
        <xdr:cNvPr id="3" name="Chart 2" descr="Chart type: Clustered Bar. ' delivery_time_days ' by 'carrier'&#10;&#10;Description automatically generated">
          <a:extLst>
            <a:ext uri="{FF2B5EF4-FFF2-40B4-BE49-F238E27FC236}">
              <a16:creationId xmlns:a16="http://schemas.microsoft.com/office/drawing/2014/main" id="{578D126E-26B0-FEB8-2284-D65BAADD30BD}"/>
            </a:ext>
            <a:ext uri="{147F2762-F138-4A5C-976F-8EAC2B608ADB}">
              <a16:predDERef xmlns:a16="http://schemas.microsoft.com/office/drawing/2014/main" pred="{D20D6597-E549-48F6-807A-961E1C298C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19050</xdr:colOff>
      <xdr:row>6</xdr:row>
      <xdr:rowOff>19050</xdr:rowOff>
    </xdr:from>
    <xdr:to>
      <xdr:col>10</xdr:col>
      <xdr:colOff>1114425</xdr:colOff>
      <xdr:row>25</xdr:row>
      <xdr:rowOff>104775</xdr:rowOff>
    </xdr:to>
    <xdr:graphicFrame macro="">
      <xdr:nvGraphicFramePr>
        <xdr:cNvPr id="4" name="Chart 3" descr="Chart type: Clustered Column. 'on_time_flag' by 'warehouse ' and 'carrier'&#10;&#10;Description automatically generated">
          <a:extLst>
            <a:ext uri="{FF2B5EF4-FFF2-40B4-BE49-F238E27FC236}">
              <a16:creationId xmlns:a16="http://schemas.microsoft.com/office/drawing/2014/main" id="{92D3C879-8D42-E382-C47B-F9D8DDC35131}"/>
            </a:ext>
            <a:ext uri="{147F2762-F138-4A5C-976F-8EAC2B608ADB}">
              <a16:predDERef xmlns:a16="http://schemas.microsoft.com/office/drawing/2014/main" pred="{578D126E-26B0-FEB8-2284-D65BAADD30B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47625</xdr:colOff>
      <xdr:row>4</xdr:row>
      <xdr:rowOff>38100</xdr:rowOff>
    </xdr:from>
    <xdr:to>
      <xdr:col>16</xdr:col>
      <xdr:colOff>542925</xdr:colOff>
      <xdr:row>14</xdr:row>
      <xdr:rowOff>104775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E1CE8A1-F062-40C6-79BE-C7ADEBE1AA44}"/>
            </a:ext>
            <a:ext uri="{147F2762-F138-4A5C-976F-8EAC2B608ADB}">
              <a16:predDERef xmlns:a16="http://schemas.microsoft.com/office/drawing/2014/main" pred="{92D3C879-8D42-E382-C47B-F9D8DDC3513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11</xdr:col>
      <xdr:colOff>247650</xdr:colOff>
      <xdr:row>25</xdr:row>
      <xdr:rowOff>0</xdr:rowOff>
    </xdr:from>
    <xdr:to>
      <xdr:col>16</xdr:col>
      <xdr:colOff>295275</xdr:colOff>
      <xdr:row>35</xdr:row>
      <xdr:rowOff>171450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71F80749-BAF5-9CB8-64CC-CEFA976F32CF}"/>
            </a:ext>
            <a:ext uri="{147F2762-F138-4A5C-976F-8EAC2B608ADB}">
              <a16:predDERef xmlns:a16="http://schemas.microsoft.com/office/drawing/2014/main" pred="{BE1CE8A1-F062-40C6-79BE-C7ADEBE1AA4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11</xdr:col>
      <xdr:colOff>38100</xdr:colOff>
      <xdr:row>14</xdr:row>
      <xdr:rowOff>114300</xdr:rowOff>
    </xdr:from>
    <xdr:to>
      <xdr:col>16</xdr:col>
      <xdr:colOff>590550</xdr:colOff>
      <xdr:row>25</xdr:row>
      <xdr:rowOff>95250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D396D57F-99E2-C9F2-DBE0-5539B92F81C8}"/>
            </a:ext>
            <a:ext uri="{147F2762-F138-4A5C-976F-8EAC2B608ADB}">
              <a16:predDERef xmlns:a16="http://schemas.microsoft.com/office/drawing/2014/main" pred="{71F80749-BAF5-9CB8-64CC-CEFA976F32C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4</xdr:col>
      <xdr:colOff>180975</xdr:colOff>
      <xdr:row>0</xdr:row>
      <xdr:rowOff>47625</xdr:rowOff>
    </xdr:from>
    <xdr:to>
      <xdr:col>11</xdr:col>
      <xdr:colOff>238125</xdr:colOff>
      <xdr:row>2</xdr:row>
      <xdr:rowOff>76200</xdr:rowOff>
    </xdr:to>
    <xdr:sp macro="" textlink="">
      <xdr:nvSpPr>
        <xdr:cNvPr id="10" name="Rounded Rectangle 9">
          <a:extLst>
            <a:ext uri="{FF2B5EF4-FFF2-40B4-BE49-F238E27FC236}">
              <a16:creationId xmlns:a16="http://schemas.microsoft.com/office/drawing/2014/main" id="{65411108-66E7-47E0-8A4E-84138421D8A3}"/>
            </a:ext>
            <a:ext uri="{147F2762-F138-4A5C-976F-8EAC2B608ADB}">
              <a16:predDERef xmlns:a16="http://schemas.microsoft.com/office/drawing/2014/main" pred="{D396D57F-99E2-C9F2-DBE0-5539B92F81C8}"/>
            </a:ext>
          </a:extLst>
        </xdr:cNvPr>
        <xdr:cNvSpPr/>
      </xdr:nvSpPr>
      <xdr:spPr>
        <a:xfrm>
          <a:off x="3905250" y="47625"/>
          <a:ext cx="5791200" cy="485775"/>
        </a:xfrm>
        <a:prstGeom prst="roundRect">
          <a:avLst/>
        </a:prstGeom>
        <a:noFill/>
        <a:ln>
          <a:noFill/>
        </a:ln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spcFirstLastPara="0" wrap="square" lIns="91440" tIns="45720" rIns="91440" bIns="45720" rtlCol="0" anchor="ctr">
          <a:noAutofit/>
        </a:bodyPr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600" b="0" i="0" u="none" strike="noStrike">
              <a:solidFill>
                <a:schemeClr val="accent2">
                  <a:lumMod val="50000"/>
                </a:schemeClr>
              </a:solidFill>
              <a:latin typeface="ADLaM Display" panose="02010000000000000000" pitchFamily="2" charset="0"/>
              <a:ea typeface="ADLaM Display" panose="02010000000000000000" pitchFamily="2" charset="0"/>
              <a:cs typeface="ADLaM Display" panose="02010000000000000000" pitchFamily="2" charset="0"/>
            </a:rPr>
            <a:t>Mini E-Commerce Logistics Project</a:t>
          </a:r>
        </a:p>
        <a:p>
          <a:pPr marL="0" indent="0" algn="ctr"/>
          <a:r>
            <a:rPr lang="en-US" sz="1600" b="0" i="0" u="none" strike="noStrike">
              <a:solidFill>
                <a:schemeClr val="accent2">
                  <a:lumMod val="50000"/>
                </a:schemeClr>
              </a:solidFill>
              <a:latin typeface="ADLaM Display" panose="02010000000000000000" pitchFamily="2" charset="0"/>
              <a:ea typeface="ADLaM Display" panose="02010000000000000000" pitchFamily="2" charset="0"/>
              <a:cs typeface="ADLaM Display" panose="02010000000000000000" pitchFamily="2" charset="0"/>
            </a:rPr>
            <a:t>By Sifanele Jula. 27 November 2025</a:t>
          </a:r>
        </a:p>
      </xdr:txBody>
    </xdr:sp>
    <xdr:clientData/>
  </xdr:twoCellAnchor>
  <xdr:twoCellAnchor>
    <xdr:from>
      <xdr:col>7</xdr:col>
      <xdr:colOff>704850</xdr:colOff>
      <xdr:row>25</xdr:row>
      <xdr:rowOff>76200</xdr:rowOff>
    </xdr:from>
    <xdr:to>
      <xdr:col>8</xdr:col>
      <xdr:colOff>971550</xdr:colOff>
      <xdr:row>27</xdr:row>
      <xdr:rowOff>95250</xdr:rowOff>
    </xdr:to>
    <xdr:sp macro="" textlink="">
      <xdr:nvSpPr>
        <xdr:cNvPr id="14" name="Rounded Rectangle 13">
          <a:extLst>
            <a:ext uri="{FF2B5EF4-FFF2-40B4-BE49-F238E27FC236}">
              <a16:creationId xmlns:a16="http://schemas.microsoft.com/office/drawing/2014/main" id="{15F3CC73-FC2A-5579-19AB-C76FFC77045E}"/>
            </a:ext>
            <a:ext uri="{147F2762-F138-4A5C-976F-8EAC2B608ADB}">
              <a16:predDERef xmlns:a16="http://schemas.microsoft.com/office/drawing/2014/main" pred="{65411108-66E7-47E0-8A4E-84138421D8A3}"/>
            </a:ext>
          </a:extLst>
        </xdr:cNvPr>
        <xdr:cNvSpPr/>
      </xdr:nvSpPr>
      <xdr:spPr>
        <a:xfrm>
          <a:off x="6429375" y="5057775"/>
          <a:ext cx="1047750" cy="40005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600" b="1" i="0" u="none" strike="noStrike">
              <a:solidFill>
                <a:schemeClr val="accent2">
                  <a:lumMod val="5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Summary</a:t>
          </a:r>
        </a:p>
      </xdr:txBody>
    </xdr:sp>
    <xdr:clientData/>
  </xdr:twoCellAnchor>
  <xdr:twoCellAnchor>
    <xdr:from>
      <xdr:col>5</xdr:col>
      <xdr:colOff>342900</xdr:colOff>
      <xdr:row>27</xdr:row>
      <xdr:rowOff>114300</xdr:rowOff>
    </xdr:from>
    <xdr:to>
      <xdr:col>7</xdr:col>
      <xdr:colOff>123825</xdr:colOff>
      <xdr:row>29</xdr:row>
      <xdr:rowOff>104775</xdr:rowOff>
    </xdr:to>
    <xdr:sp macro="" textlink="">
      <xdr:nvSpPr>
        <xdr:cNvPr id="15" name="Rounded Rectangle 14">
          <a:extLst>
            <a:ext uri="{FF2B5EF4-FFF2-40B4-BE49-F238E27FC236}">
              <a16:creationId xmlns:a16="http://schemas.microsoft.com/office/drawing/2014/main" id="{B00D35FD-1E71-4623-B258-0158F7042715}"/>
            </a:ext>
            <a:ext uri="{147F2762-F138-4A5C-976F-8EAC2B608ADB}">
              <a16:predDERef xmlns:a16="http://schemas.microsoft.com/office/drawing/2014/main" pred="{15F3CC73-FC2A-5579-19AB-C76FFC77045E}"/>
            </a:ext>
          </a:extLst>
        </xdr:cNvPr>
        <xdr:cNvSpPr/>
      </xdr:nvSpPr>
      <xdr:spPr>
        <a:xfrm>
          <a:off x="4505325" y="5476875"/>
          <a:ext cx="1343025" cy="371475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1400" b="1" i="0" u="none" strike="noStrike">
              <a:solidFill>
                <a:schemeClr val="accent2">
                  <a:lumMod val="5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95% OTIF</a:t>
          </a:r>
        </a:p>
      </xdr:txBody>
    </xdr:sp>
    <xdr:clientData/>
  </xdr:twoCellAnchor>
  <xdr:twoCellAnchor>
    <xdr:from>
      <xdr:col>5</xdr:col>
      <xdr:colOff>19050</xdr:colOff>
      <xdr:row>28</xdr:row>
      <xdr:rowOff>85725</xdr:rowOff>
    </xdr:from>
    <xdr:to>
      <xdr:col>6</xdr:col>
      <xdr:colOff>771525</xdr:colOff>
      <xdr:row>31</xdr:row>
      <xdr:rowOff>66675</xdr:rowOff>
    </xdr:to>
    <xdr:sp macro="" textlink="">
      <xdr:nvSpPr>
        <xdr:cNvPr id="16" name="Rounded Rectangle 15">
          <a:extLst>
            <a:ext uri="{FF2B5EF4-FFF2-40B4-BE49-F238E27FC236}">
              <a16:creationId xmlns:a16="http://schemas.microsoft.com/office/drawing/2014/main" id="{A43FBD6E-C595-452E-A7EC-F99905404E43}"/>
            </a:ext>
            <a:ext uri="{147F2762-F138-4A5C-976F-8EAC2B608ADB}">
              <a16:predDERef xmlns:a16="http://schemas.microsoft.com/office/drawing/2014/main" pred="{B00D35FD-1E71-4623-B258-0158F7042715}"/>
            </a:ext>
          </a:extLst>
        </xdr:cNvPr>
        <xdr:cNvSpPr/>
      </xdr:nvSpPr>
      <xdr:spPr>
        <a:xfrm>
          <a:off x="4181475" y="5638800"/>
          <a:ext cx="1533525" cy="55245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000" b="1" i="0" u="none" strike="noStrike">
              <a:solidFill>
                <a:schemeClr val="accent2">
                  <a:lumMod val="5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Industry Benchmark</a:t>
          </a:r>
        </a:p>
      </xdr:txBody>
    </xdr:sp>
    <xdr:clientData/>
  </xdr:twoCellAnchor>
  <xdr:twoCellAnchor>
    <xdr:from>
      <xdr:col>5</xdr:col>
      <xdr:colOff>209550</xdr:colOff>
      <xdr:row>27</xdr:row>
      <xdr:rowOff>114300</xdr:rowOff>
    </xdr:from>
    <xdr:to>
      <xdr:col>6</xdr:col>
      <xdr:colOff>638175</xdr:colOff>
      <xdr:row>30</xdr:row>
      <xdr:rowOff>123825</xdr:rowOff>
    </xdr:to>
    <xdr:sp macro="" textlink="">
      <xdr:nvSpPr>
        <xdr:cNvPr id="17" name="Rounded Rectangle 16">
          <a:extLst>
            <a:ext uri="{FF2B5EF4-FFF2-40B4-BE49-F238E27FC236}">
              <a16:creationId xmlns:a16="http://schemas.microsoft.com/office/drawing/2014/main" id="{6337737B-1002-4336-8126-C022761DE7DA}"/>
            </a:ext>
            <a:ext uri="{147F2762-F138-4A5C-976F-8EAC2B608ADB}">
              <a16:predDERef xmlns:a16="http://schemas.microsoft.com/office/drawing/2014/main" pred="{A43FBD6E-C595-452E-A7EC-F99905404E43}"/>
            </a:ext>
          </a:extLst>
        </xdr:cNvPr>
        <xdr:cNvSpPr/>
      </xdr:nvSpPr>
      <xdr:spPr>
        <a:xfrm>
          <a:off x="4371975" y="5476875"/>
          <a:ext cx="1209675" cy="581025"/>
        </a:xfrm>
        <a:prstGeom prst="roundRect">
          <a:avLst/>
        </a:prstGeom>
        <a:noFill/>
        <a:ln>
          <a:solidFill>
            <a:schemeClr val="accent2">
              <a:lumMod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endParaRPr lang="en-US" sz="1600" b="1" i="0" u="none" strike="noStrike">
            <a:solidFill>
              <a:schemeClr val="accent2">
                <a:lumMod val="50000"/>
              </a:schemeClr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twoCellAnchor>
    <xdr:from>
      <xdr:col>5</xdr:col>
      <xdr:colOff>323850</xdr:colOff>
      <xdr:row>31</xdr:row>
      <xdr:rowOff>19050</xdr:rowOff>
    </xdr:from>
    <xdr:to>
      <xdr:col>6</xdr:col>
      <xdr:colOff>590550</xdr:colOff>
      <xdr:row>33</xdr:row>
      <xdr:rowOff>38100</xdr:rowOff>
    </xdr:to>
    <xdr:sp macro="" textlink="">
      <xdr:nvSpPr>
        <xdr:cNvPr id="18" name="Rounded Rectangle 17">
          <a:extLst>
            <a:ext uri="{FF2B5EF4-FFF2-40B4-BE49-F238E27FC236}">
              <a16:creationId xmlns:a16="http://schemas.microsoft.com/office/drawing/2014/main" id="{A9EA38E0-79BA-4EAE-965E-0FC646759DE9}"/>
            </a:ext>
            <a:ext uri="{147F2762-F138-4A5C-976F-8EAC2B608ADB}">
              <a16:predDERef xmlns:a16="http://schemas.microsoft.com/office/drawing/2014/main" pred="{6337737B-1002-4336-8126-C022761DE7DA}"/>
            </a:ext>
          </a:extLst>
        </xdr:cNvPr>
        <xdr:cNvSpPr/>
      </xdr:nvSpPr>
      <xdr:spPr>
        <a:xfrm>
          <a:off x="4486275" y="6143625"/>
          <a:ext cx="1047750" cy="40005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1400" b="1" i="0" u="none" strike="noStrike">
              <a:solidFill>
                <a:schemeClr val="accent2">
                  <a:lumMod val="5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61% OTIF</a:t>
          </a:r>
        </a:p>
      </xdr:txBody>
    </xdr:sp>
    <xdr:clientData/>
  </xdr:twoCellAnchor>
  <xdr:twoCellAnchor>
    <xdr:from>
      <xdr:col>5</xdr:col>
      <xdr:colOff>161925</xdr:colOff>
      <xdr:row>31</xdr:row>
      <xdr:rowOff>180975</xdr:rowOff>
    </xdr:from>
    <xdr:to>
      <xdr:col>7</xdr:col>
      <xdr:colOff>66675</xdr:colOff>
      <xdr:row>34</xdr:row>
      <xdr:rowOff>9525</xdr:rowOff>
    </xdr:to>
    <xdr:sp macro="" textlink="">
      <xdr:nvSpPr>
        <xdr:cNvPr id="19" name="Rounded Rectangle 18">
          <a:extLst>
            <a:ext uri="{FF2B5EF4-FFF2-40B4-BE49-F238E27FC236}">
              <a16:creationId xmlns:a16="http://schemas.microsoft.com/office/drawing/2014/main" id="{E056BC41-B690-43C4-AED8-45BBC07FD8B1}"/>
            </a:ext>
            <a:ext uri="{147F2762-F138-4A5C-976F-8EAC2B608ADB}">
              <a16:predDERef xmlns:a16="http://schemas.microsoft.com/office/drawing/2014/main" pred="{A9EA38E0-79BA-4EAE-965E-0FC646759DE9}"/>
            </a:ext>
          </a:extLst>
        </xdr:cNvPr>
        <xdr:cNvSpPr/>
      </xdr:nvSpPr>
      <xdr:spPr>
        <a:xfrm>
          <a:off x="4324350" y="6305550"/>
          <a:ext cx="1466850" cy="40005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1000" b="1" i="0" u="none" strike="noStrike">
              <a:solidFill>
                <a:schemeClr val="accent2">
                  <a:lumMod val="5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Current Performance</a:t>
          </a:r>
        </a:p>
      </xdr:txBody>
    </xdr:sp>
    <xdr:clientData/>
  </xdr:twoCellAnchor>
  <xdr:twoCellAnchor>
    <xdr:from>
      <xdr:col>5</xdr:col>
      <xdr:colOff>209550</xdr:colOff>
      <xdr:row>31</xdr:row>
      <xdr:rowOff>38100</xdr:rowOff>
    </xdr:from>
    <xdr:to>
      <xdr:col>6</xdr:col>
      <xdr:colOff>666750</xdr:colOff>
      <xdr:row>33</xdr:row>
      <xdr:rowOff>152400</xdr:rowOff>
    </xdr:to>
    <xdr:sp macro="" textlink="">
      <xdr:nvSpPr>
        <xdr:cNvPr id="20" name="Rounded Rectangle 19">
          <a:extLst>
            <a:ext uri="{FF2B5EF4-FFF2-40B4-BE49-F238E27FC236}">
              <a16:creationId xmlns:a16="http://schemas.microsoft.com/office/drawing/2014/main" id="{21E4D345-C4C0-42F6-ABD7-A52DDBC5EBA6}"/>
            </a:ext>
            <a:ext uri="{147F2762-F138-4A5C-976F-8EAC2B608ADB}">
              <a16:predDERef xmlns:a16="http://schemas.microsoft.com/office/drawing/2014/main" pred="{E056BC41-B690-43C4-AED8-45BBC07FD8B1}"/>
            </a:ext>
          </a:extLst>
        </xdr:cNvPr>
        <xdr:cNvSpPr/>
      </xdr:nvSpPr>
      <xdr:spPr>
        <a:xfrm>
          <a:off x="4371975" y="6162675"/>
          <a:ext cx="1238250" cy="495300"/>
        </a:xfrm>
        <a:prstGeom prst="roundRect">
          <a:avLst/>
        </a:prstGeom>
        <a:noFill/>
        <a:ln>
          <a:solidFill>
            <a:schemeClr val="accent2">
              <a:lumMod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endParaRPr lang="en-US" sz="1600" b="1" i="0" u="none" strike="noStrike">
            <a:solidFill>
              <a:schemeClr val="accent2">
                <a:lumMod val="50000"/>
              </a:schemeClr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twoCellAnchor>
    <xdr:from>
      <xdr:col>7</xdr:col>
      <xdr:colOff>619125</xdr:colOff>
      <xdr:row>27</xdr:row>
      <xdr:rowOff>114300</xdr:rowOff>
    </xdr:from>
    <xdr:to>
      <xdr:col>9</xdr:col>
      <xdr:colOff>114300</xdr:colOff>
      <xdr:row>30</xdr:row>
      <xdr:rowOff>57150</xdr:rowOff>
    </xdr:to>
    <xdr:sp macro="" textlink="">
      <xdr:nvSpPr>
        <xdr:cNvPr id="21" name="Rounded Rectangle 20">
          <a:extLst>
            <a:ext uri="{FF2B5EF4-FFF2-40B4-BE49-F238E27FC236}">
              <a16:creationId xmlns:a16="http://schemas.microsoft.com/office/drawing/2014/main" id="{FD6DDE3D-2EE3-4D73-BA66-A3A39270BB09}"/>
            </a:ext>
            <a:ext uri="{147F2762-F138-4A5C-976F-8EAC2B608ADB}">
              <a16:predDERef xmlns:a16="http://schemas.microsoft.com/office/drawing/2014/main" pred="{21E4D345-C4C0-42F6-ABD7-A52DDBC5EBA6}"/>
            </a:ext>
          </a:extLst>
        </xdr:cNvPr>
        <xdr:cNvSpPr/>
      </xdr:nvSpPr>
      <xdr:spPr>
        <a:xfrm>
          <a:off x="6343650" y="5476875"/>
          <a:ext cx="1295400" cy="51435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1200" b="1" i="0" u="none" strike="noStrike">
              <a:solidFill>
                <a:schemeClr val="accent2">
                  <a:lumMod val="5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Delivery Speed:          3 days</a:t>
          </a:r>
        </a:p>
      </xdr:txBody>
    </xdr:sp>
    <xdr:clientData/>
  </xdr:twoCellAnchor>
  <xdr:twoCellAnchor>
    <xdr:from>
      <xdr:col>7</xdr:col>
      <xdr:colOff>742950</xdr:colOff>
      <xdr:row>31</xdr:row>
      <xdr:rowOff>9525</xdr:rowOff>
    </xdr:from>
    <xdr:to>
      <xdr:col>8</xdr:col>
      <xdr:colOff>1009650</xdr:colOff>
      <xdr:row>33</xdr:row>
      <xdr:rowOff>28575</xdr:rowOff>
    </xdr:to>
    <xdr:sp macro="" textlink="">
      <xdr:nvSpPr>
        <xdr:cNvPr id="22" name="Rounded Rectangle 21">
          <a:extLst>
            <a:ext uri="{FF2B5EF4-FFF2-40B4-BE49-F238E27FC236}">
              <a16:creationId xmlns:a16="http://schemas.microsoft.com/office/drawing/2014/main" id="{50053BDD-3EB0-46B2-8F33-8E411C709DDD}"/>
            </a:ext>
            <a:ext uri="{147F2762-F138-4A5C-976F-8EAC2B608ADB}">
              <a16:predDERef xmlns:a16="http://schemas.microsoft.com/office/drawing/2014/main" pred="{FD6DDE3D-2EE3-4D73-BA66-A3A39270BB09}"/>
            </a:ext>
          </a:extLst>
        </xdr:cNvPr>
        <xdr:cNvSpPr/>
      </xdr:nvSpPr>
      <xdr:spPr>
        <a:xfrm>
          <a:off x="6467475" y="6134100"/>
          <a:ext cx="1047750" cy="40005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900" b="1" i="0" u="none" strike="noStrike">
              <a:solidFill>
                <a:schemeClr val="accent2">
                  <a:lumMod val="5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Delivery speed is stable but relaibility is low</a:t>
          </a:r>
        </a:p>
      </xdr:txBody>
    </xdr:sp>
    <xdr:clientData/>
  </xdr:twoCellAnchor>
  <xdr:twoCellAnchor>
    <xdr:from>
      <xdr:col>9</xdr:col>
      <xdr:colOff>552450</xdr:colOff>
      <xdr:row>28</xdr:row>
      <xdr:rowOff>57150</xdr:rowOff>
    </xdr:from>
    <xdr:to>
      <xdr:col>10</xdr:col>
      <xdr:colOff>819150</xdr:colOff>
      <xdr:row>30</xdr:row>
      <xdr:rowOff>76200</xdr:rowOff>
    </xdr:to>
    <xdr:sp macro="" textlink="">
      <xdr:nvSpPr>
        <xdr:cNvPr id="23" name="Rounded Rectangle 22">
          <a:extLst>
            <a:ext uri="{FF2B5EF4-FFF2-40B4-BE49-F238E27FC236}">
              <a16:creationId xmlns:a16="http://schemas.microsoft.com/office/drawing/2014/main" id="{92540571-7FE7-46FD-80C5-7F4B2CE7E085}"/>
            </a:ext>
            <a:ext uri="{147F2762-F138-4A5C-976F-8EAC2B608ADB}">
              <a16:predDERef xmlns:a16="http://schemas.microsoft.com/office/drawing/2014/main" pred="{50053BDD-3EB0-46B2-8F33-8E411C709DDD}"/>
            </a:ext>
          </a:extLst>
        </xdr:cNvPr>
        <xdr:cNvSpPr/>
      </xdr:nvSpPr>
      <xdr:spPr>
        <a:xfrm>
          <a:off x="8077200" y="5610225"/>
          <a:ext cx="1047750" cy="40005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000" b="1" i="0" u="none" strike="noStrike">
              <a:solidFill>
                <a:schemeClr val="accent2">
                  <a:lumMod val="5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10% Gap between Best and Worst perfrming warehous</a:t>
          </a:r>
        </a:p>
        <a:p>
          <a:pPr marL="0" indent="0" algn="l"/>
          <a:endParaRPr lang="en-US" sz="1200" b="1" i="0" u="none" strike="noStrike">
            <a:solidFill>
              <a:schemeClr val="accent2">
                <a:lumMod val="50000"/>
              </a:schemeClr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twoCellAnchor>
    <xdr:from>
      <xdr:col>7</xdr:col>
      <xdr:colOff>638175</xdr:colOff>
      <xdr:row>27</xdr:row>
      <xdr:rowOff>114300</xdr:rowOff>
    </xdr:from>
    <xdr:to>
      <xdr:col>8</xdr:col>
      <xdr:colOff>1009650</xdr:colOff>
      <xdr:row>30</xdr:row>
      <xdr:rowOff>104775</xdr:rowOff>
    </xdr:to>
    <xdr:sp macro="" textlink="">
      <xdr:nvSpPr>
        <xdr:cNvPr id="24" name="Rounded Rectangle 23">
          <a:extLst>
            <a:ext uri="{FF2B5EF4-FFF2-40B4-BE49-F238E27FC236}">
              <a16:creationId xmlns:a16="http://schemas.microsoft.com/office/drawing/2014/main" id="{20EABCFF-38CD-42FB-8FD5-008CD306E011}"/>
            </a:ext>
            <a:ext uri="{147F2762-F138-4A5C-976F-8EAC2B608ADB}">
              <a16:predDERef xmlns:a16="http://schemas.microsoft.com/office/drawing/2014/main" pred="{92540571-7FE7-46FD-80C5-7F4B2CE7E085}"/>
            </a:ext>
          </a:extLst>
        </xdr:cNvPr>
        <xdr:cNvSpPr/>
      </xdr:nvSpPr>
      <xdr:spPr>
        <a:xfrm>
          <a:off x="6362700" y="5476875"/>
          <a:ext cx="1152525" cy="561975"/>
        </a:xfrm>
        <a:prstGeom prst="roundRect">
          <a:avLst/>
        </a:prstGeom>
        <a:noFill/>
        <a:ln>
          <a:solidFill>
            <a:schemeClr val="accent2">
              <a:lumMod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endParaRPr lang="en-US" sz="1600" b="1" i="0" u="none" strike="noStrike">
            <a:solidFill>
              <a:schemeClr val="accent2">
                <a:lumMod val="50000"/>
              </a:schemeClr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twoCellAnchor>
    <xdr:from>
      <xdr:col>7</xdr:col>
      <xdr:colOff>657225</xdr:colOff>
      <xdr:row>31</xdr:row>
      <xdr:rowOff>47625</xdr:rowOff>
    </xdr:from>
    <xdr:to>
      <xdr:col>9</xdr:col>
      <xdr:colOff>19050</xdr:colOff>
      <xdr:row>33</xdr:row>
      <xdr:rowOff>180975</xdr:rowOff>
    </xdr:to>
    <xdr:sp macro="" textlink="">
      <xdr:nvSpPr>
        <xdr:cNvPr id="25" name="Rounded Rectangle 24">
          <a:extLst>
            <a:ext uri="{FF2B5EF4-FFF2-40B4-BE49-F238E27FC236}">
              <a16:creationId xmlns:a16="http://schemas.microsoft.com/office/drawing/2014/main" id="{A2A17D34-3D1A-471F-BAC7-F5439D66441F}"/>
            </a:ext>
            <a:ext uri="{147F2762-F138-4A5C-976F-8EAC2B608ADB}">
              <a16:predDERef xmlns:a16="http://schemas.microsoft.com/office/drawing/2014/main" pred="{20EABCFF-38CD-42FB-8FD5-008CD306E011}"/>
            </a:ext>
          </a:extLst>
        </xdr:cNvPr>
        <xdr:cNvSpPr/>
      </xdr:nvSpPr>
      <xdr:spPr>
        <a:xfrm>
          <a:off x="6381750" y="6172200"/>
          <a:ext cx="1162050" cy="514350"/>
        </a:xfrm>
        <a:prstGeom prst="roundRect">
          <a:avLst/>
        </a:prstGeom>
        <a:noFill/>
        <a:ln>
          <a:solidFill>
            <a:schemeClr val="accent2">
              <a:lumMod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endParaRPr lang="en-US" sz="1600" b="1" i="0" u="none" strike="noStrike">
            <a:solidFill>
              <a:schemeClr val="accent2">
                <a:lumMod val="50000"/>
              </a:schemeClr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twoCellAnchor>
    <xdr:from>
      <xdr:col>9</xdr:col>
      <xdr:colOff>552450</xdr:colOff>
      <xdr:row>27</xdr:row>
      <xdr:rowOff>123825</xdr:rowOff>
    </xdr:from>
    <xdr:to>
      <xdr:col>10</xdr:col>
      <xdr:colOff>819150</xdr:colOff>
      <xdr:row>33</xdr:row>
      <xdr:rowOff>171450</xdr:rowOff>
    </xdr:to>
    <xdr:sp macro="" textlink="">
      <xdr:nvSpPr>
        <xdr:cNvPr id="26" name="Rounded Rectangle 25">
          <a:extLst>
            <a:ext uri="{FF2B5EF4-FFF2-40B4-BE49-F238E27FC236}">
              <a16:creationId xmlns:a16="http://schemas.microsoft.com/office/drawing/2014/main" id="{A092C3A4-C0D2-4BC9-B9AC-B0CE7CFAB231}"/>
            </a:ext>
            <a:ext uri="{147F2762-F138-4A5C-976F-8EAC2B608ADB}">
              <a16:predDERef xmlns:a16="http://schemas.microsoft.com/office/drawing/2014/main" pred="{A2A17D34-3D1A-471F-BAC7-F5439D66441F}"/>
            </a:ext>
          </a:extLst>
        </xdr:cNvPr>
        <xdr:cNvSpPr/>
      </xdr:nvSpPr>
      <xdr:spPr>
        <a:xfrm>
          <a:off x="8077200" y="5486400"/>
          <a:ext cx="1047750" cy="1190625"/>
        </a:xfrm>
        <a:prstGeom prst="roundRect">
          <a:avLst/>
        </a:prstGeom>
        <a:noFill/>
        <a:ln>
          <a:solidFill>
            <a:schemeClr val="accent2">
              <a:lumMod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endParaRPr lang="en-US" sz="1600" b="1" i="0" u="none" strike="noStrike">
            <a:solidFill>
              <a:schemeClr val="accent2">
                <a:lumMod val="50000"/>
              </a:schemeClr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5989.060684490738" createdVersion="8" refreshedVersion="8" minRefreshableVersion="3" recordCount="548" xr:uid="{805E7A18-DA57-4EA0-BBCB-F6E002A74D7A}">
  <cacheSource type="worksheet">
    <worksheetSource name="Table2"/>
  </cacheSource>
  <cacheFields count="8">
    <cacheField name="order_id" numFmtId="0">
      <sharedItems containsSemiMixedTypes="0" containsString="0" containsNumber="1" containsInteger="1" minValue="1" maxValue="548"/>
    </cacheField>
    <cacheField name=" order_date" numFmtId="164">
      <sharedItems containsSemiMixedTypes="0" containsNonDate="0" containsDate="1" containsString="0" minDate="2024-07-01T00:00:00" maxDate="2024-08-01T00:00:00"/>
    </cacheField>
    <cacheField name=" ship_date" numFmtId="164">
      <sharedItems containsSemiMixedTypes="0" containsNonDate="0" containsDate="1" containsString="0" minDate="2024-07-02T00:00:00" maxDate="2024-08-06T00:00:00"/>
    </cacheField>
    <cacheField name=" delivery_time_days " numFmtId="0">
      <sharedItems containsSemiMixedTypes="0" containsString="0" containsNumber="1" containsInteger="1" minValue="1" maxValue="5"/>
    </cacheField>
    <cacheField name="warehouse " numFmtId="0">
      <sharedItems count="3">
        <s v="A"/>
        <s v="C"/>
        <s v="B"/>
      </sharedItems>
    </cacheField>
    <cacheField name="carrier" numFmtId="0">
      <sharedItems count="3">
        <s v="FedEx"/>
        <s v="UPS"/>
        <s v="DHL"/>
      </sharedItems>
    </cacheField>
    <cacheField name="on_time" numFmtId="0">
      <sharedItems/>
    </cacheField>
    <cacheField name="on_time_flag" numFmtId="0">
      <sharedItems containsSemiMixedTypes="0" containsString="0" containsNumber="1" containsInteger="1" minValue="0" maxValue="1"/>
    </cacheField>
  </cacheFields>
  <extLst>
    <ext xmlns:x14="http://schemas.microsoft.com/office/spreadsheetml/2009/9/main" uri="{725AE2AE-9491-48be-B2B4-4EB974FC3084}">
      <x14:pivotCacheDefinition pivotCacheId="127929953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48">
  <r>
    <n v="1"/>
    <d v="2024-07-03T00:00:00"/>
    <d v="2024-07-04T00:00:00"/>
    <n v="1"/>
    <x v="0"/>
    <x v="0"/>
    <s v="Yes"/>
    <n v="1"/>
  </r>
  <r>
    <n v="2"/>
    <d v="2024-07-12T00:00:00"/>
    <d v="2024-07-16T00:00:00"/>
    <n v="4"/>
    <x v="1"/>
    <x v="1"/>
    <s v="No"/>
    <n v="0"/>
  </r>
  <r>
    <n v="3"/>
    <d v="2024-07-27T00:00:00"/>
    <d v="2024-08-01T00:00:00"/>
    <n v="5"/>
    <x v="1"/>
    <x v="1"/>
    <s v="No"/>
    <n v="0"/>
  </r>
  <r>
    <n v="4"/>
    <d v="2024-07-18T00:00:00"/>
    <d v="2024-07-21T00:00:00"/>
    <n v="3"/>
    <x v="2"/>
    <x v="0"/>
    <s v="Yes"/>
    <n v="1"/>
  </r>
  <r>
    <n v="5"/>
    <d v="2024-07-13T00:00:00"/>
    <d v="2024-07-18T00:00:00"/>
    <n v="5"/>
    <x v="2"/>
    <x v="1"/>
    <s v="No"/>
    <n v="0"/>
  </r>
  <r>
    <n v="6"/>
    <d v="2024-07-29T00:00:00"/>
    <d v="2024-08-02T00:00:00"/>
    <n v="4"/>
    <x v="0"/>
    <x v="0"/>
    <s v="No"/>
    <n v="0"/>
  </r>
  <r>
    <n v="7"/>
    <d v="2024-07-07T00:00:00"/>
    <d v="2024-07-12T00:00:00"/>
    <n v="5"/>
    <x v="0"/>
    <x v="2"/>
    <s v="No"/>
    <n v="0"/>
  </r>
  <r>
    <n v="8"/>
    <d v="2024-07-27T00:00:00"/>
    <d v="2024-07-29T00:00:00"/>
    <n v="2"/>
    <x v="0"/>
    <x v="0"/>
    <s v="Yes"/>
    <n v="1"/>
  </r>
  <r>
    <n v="9"/>
    <d v="2024-07-25T00:00:00"/>
    <d v="2024-07-27T00:00:00"/>
    <n v="2"/>
    <x v="0"/>
    <x v="2"/>
    <s v="Yes"/>
    <n v="1"/>
  </r>
  <r>
    <n v="10"/>
    <d v="2024-07-19T00:00:00"/>
    <d v="2024-07-24T00:00:00"/>
    <n v="5"/>
    <x v="0"/>
    <x v="1"/>
    <s v="No"/>
    <n v="0"/>
  </r>
  <r>
    <n v="11"/>
    <d v="2024-07-14T00:00:00"/>
    <d v="2024-07-17T00:00:00"/>
    <n v="3"/>
    <x v="0"/>
    <x v="2"/>
    <s v="Yes"/>
    <n v="1"/>
  </r>
  <r>
    <n v="12"/>
    <d v="2024-07-08T00:00:00"/>
    <d v="2024-07-13T00:00:00"/>
    <n v="5"/>
    <x v="2"/>
    <x v="2"/>
    <s v="No"/>
    <n v="0"/>
  </r>
  <r>
    <n v="13"/>
    <d v="2024-07-05T00:00:00"/>
    <d v="2024-07-09T00:00:00"/>
    <n v="4"/>
    <x v="0"/>
    <x v="0"/>
    <s v="No"/>
    <n v="0"/>
  </r>
  <r>
    <n v="14"/>
    <d v="2024-07-27T00:00:00"/>
    <d v="2024-07-28T00:00:00"/>
    <n v="1"/>
    <x v="1"/>
    <x v="1"/>
    <s v="Yes"/>
    <n v="1"/>
  </r>
  <r>
    <n v="15"/>
    <d v="2024-07-21T00:00:00"/>
    <d v="2024-07-23T00:00:00"/>
    <n v="2"/>
    <x v="1"/>
    <x v="2"/>
    <s v="Yes"/>
    <n v="1"/>
  </r>
  <r>
    <n v="16"/>
    <d v="2024-07-30T00:00:00"/>
    <d v="2024-08-03T00:00:00"/>
    <n v="4"/>
    <x v="0"/>
    <x v="0"/>
    <s v="No"/>
    <n v="0"/>
  </r>
  <r>
    <n v="17"/>
    <d v="2024-07-29T00:00:00"/>
    <d v="2024-07-30T00:00:00"/>
    <n v="1"/>
    <x v="0"/>
    <x v="0"/>
    <s v="Yes"/>
    <n v="1"/>
  </r>
  <r>
    <n v="18"/>
    <d v="2024-07-03T00:00:00"/>
    <d v="2024-07-04T00:00:00"/>
    <n v="1"/>
    <x v="1"/>
    <x v="2"/>
    <s v="Yes"/>
    <n v="1"/>
  </r>
  <r>
    <n v="19"/>
    <d v="2024-07-17T00:00:00"/>
    <d v="2024-07-20T00:00:00"/>
    <n v="3"/>
    <x v="2"/>
    <x v="1"/>
    <s v="Yes"/>
    <n v="1"/>
  </r>
  <r>
    <n v="20"/>
    <d v="2024-07-30T00:00:00"/>
    <d v="2024-07-31T00:00:00"/>
    <n v="1"/>
    <x v="0"/>
    <x v="1"/>
    <s v="Yes"/>
    <n v="1"/>
  </r>
  <r>
    <n v="21"/>
    <d v="2024-07-24T00:00:00"/>
    <d v="2024-07-25T00:00:00"/>
    <n v="1"/>
    <x v="0"/>
    <x v="0"/>
    <s v="Yes"/>
    <n v="1"/>
  </r>
  <r>
    <n v="22"/>
    <d v="2024-07-10T00:00:00"/>
    <d v="2024-07-11T00:00:00"/>
    <n v="1"/>
    <x v="1"/>
    <x v="2"/>
    <s v="Yes"/>
    <n v="1"/>
  </r>
  <r>
    <n v="23"/>
    <d v="2024-07-29T00:00:00"/>
    <d v="2024-08-03T00:00:00"/>
    <n v="5"/>
    <x v="1"/>
    <x v="1"/>
    <s v="No"/>
    <n v="0"/>
  </r>
  <r>
    <n v="24"/>
    <d v="2024-07-25T00:00:00"/>
    <d v="2024-07-27T00:00:00"/>
    <n v="2"/>
    <x v="1"/>
    <x v="1"/>
    <s v="Yes"/>
    <n v="1"/>
  </r>
  <r>
    <n v="25"/>
    <d v="2024-07-30T00:00:00"/>
    <d v="2024-08-01T00:00:00"/>
    <n v="2"/>
    <x v="2"/>
    <x v="1"/>
    <s v="Yes"/>
    <n v="1"/>
  </r>
  <r>
    <n v="26"/>
    <d v="2024-07-10T00:00:00"/>
    <d v="2024-07-11T00:00:00"/>
    <n v="1"/>
    <x v="0"/>
    <x v="1"/>
    <s v="Yes"/>
    <n v="1"/>
  </r>
  <r>
    <n v="27"/>
    <d v="2024-07-31T00:00:00"/>
    <d v="2024-08-03T00:00:00"/>
    <n v="3"/>
    <x v="2"/>
    <x v="2"/>
    <s v="Yes"/>
    <n v="1"/>
  </r>
  <r>
    <n v="28"/>
    <d v="2024-07-08T00:00:00"/>
    <d v="2024-07-13T00:00:00"/>
    <n v="5"/>
    <x v="1"/>
    <x v="0"/>
    <s v="No"/>
    <n v="0"/>
  </r>
  <r>
    <n v="29"/>
    <d v="2024-07-15T00:00:00"/>
    <d v="2024-07-19T00:00:00"/>
    <n v="4"/>
    <x v="1"/>
    <x v="2"/>
    <s v="No"/>
    <n v="0"/>
  </r>
  <r>
    <n v="30"/>
    <d v="2024-07-14T00:00:00"/>
    <d v="2024-07-18T00:00:00"/>
    <n v="4"/>
    <x v="2"/>
    <x v="2"/>
    <s v="No"/>
    <n v="0"/>
  </r>
  <r>
    <n v="31"/>
    <d v="2024-07-14T00:00:00"/>
    <d v="2024-07-16T00:00:00"/>
    <n v="2"/>
    <x v="0"/>
    <x v="2"/>
    <s v="Yes"/>
    <n v="1"/>
  </r>
  <r>
    <n v="32"/>
    <d v="2024-07-12T00:00:00"/>
    <d v="2024-07-16T00:00:00"/>
    <n v="4"/>
    <x v="0"/>
    <x v="0"/>
    <s v="No"/>
    <n v="0"/>
  </r>
  <r>
    <n v="33"/>
    <d v="2024-07-11T00:00:00"/>
    <d v="2024-07-12T00:00:00"/>
    <n v="1"/>
    <x v="1"/>
    <x v="0"/>
    <s v="Yes"/>
    <n v="1"/>
  </r>
  <r>
    <n v="34"/>
    <d v="2024-07-16T00:00:00"/>
    <d v="2024-07-17T00:00:00"/>
    <n v="1"/>
    <x v="2"/>
    <x v="1"/>
    <s v="Yes"/>
    <n v="1"/>
  </r>
  <r>
    <n v="35"/>
    <d v="2024-07-20T00:00:00"/>
    <d v="2024-07-21T00:00:00"/>
    <n v="1"/>
    <x v="1"/>
    <x v="0"/>
    <s v="Yes"/>
    <n v="1"/>
  </r>
  <r>
    <n v="36"/>
    <d v="2024-07-23T00:00:00"/>
    <d v="2024-07-26T00:00:00"/>
    <n v="3"/>
    <x v="1"/>
    <x v="1"/>
    <s v="Yes"/>
    <n v="1"/>
  </r>
  <r>
    <n v="37"/>
    <d v="2024-07-15T00:00:00"/>
    <d v="2024-07-20T00:00:00"/>
    <n v="5"/>
    <x v="2"/>
    <x v="2"/>
    <s v="No"/>
    <n v="0"/>
  </r>
  <r>
    <n v="38"/>
    <d v="2024-07-17T00:00:00"/>
    <d v="2024-07-21T00:00:00"/>
    <n v="4"/>
    <x v="1"/>
    <x v="2"/>
    <s v="No"/>
    <n v="0"/>
  </r>
  <r>
    <n v="39"/>
    <d v="2024-07-01T00:00:00"/>
    <d v="2024-07-03T00:00:00"/>
    <n v="2"/>
    <x v="2"/>
    <x v="2"/>
    <s v="Yes"/>
    <n v="1"/>
  </r>
  <r>
    <n v="40"/>
    <d v="2024-07-24T00:00:00"/>
    <d v="2024-07-25T00:00:00"/>
    <n v="1"/>
    <x v="2"/>
    <x v="0"/>
    <s v="Yes"/>
    <n v="1"/>
  </r>
  <r>
    <n v="41"/>
    <d v="2024-07-24T00:00:00"/>
    <d v="2024-07-27T00:00:00"/>
    <n v="3"/>
    <x v="0"/>
    <x v="0"/>
    <s v="Yes"/>
    <n v="1"/>
  </r>
  <r>
    <n v="42"/>
    <d v="2024-07-04T00:00:00"/>
    <d v="2024-07-05T00:00:00"/>
    <n v="1"/>
    <x v="2"/>
    <x v="0"/>
    <s v="Yes"/>
    <n v="1"/>
  </r>
  <r>
    <n v="43"/>
    <d v="2024-07-06T00:00:00"/>
    <d v="2024-07-09T00:00:00"/>
    <n v="3"/>
    <x v="1"/>
    <x v="0"/>
    <s v="Yes"/>
    <n v="1"/>
  </r>
  <r>
    <n v="44"/>
    <d v="2024-07-21T00:00:00"/>
    <d v="2024-07-24T00:00:00"/>
    <n v="3"/>
    <x v="0"/>
    <x v="2"/>
    <s v="Yes"/>
    <n v="1"/>
  </r>
  <r>
    <n v="45"/>
    <d v="2024-07-31T00:00:00"/>
    <d v="2024-08-04T00:00:00"/>
    <n v="4"/>
    <x v="0"/>
    <x v="2"/>
    <s v="No"/>
    <n v="0"/>
  </r>
  <r>
    <n v="46"/>
    <d v="2024-07-13T00:00:00"/>
    <d v="2024-07-16T00:00:00"/>
    <n v="3"/>
    <x v="0"/>
    <x v="2"/>
    <s v="Yes"/>
    <n v="1"/>
  </r>
  <r>
    <n v="47"/>
    <d v="2024-07-28T00:00:00"/>
    <d v="2024-07-29T00:00:00"/>
    <n v="1"/>
    <x v="1"/>
    <x v="2"/>
    <s v="Yes"/>
    <n v="1"/>
  </r>
  <r>
    <n v="48"/>
    <d v="2024-07-13T00:00:00"/>
    <d v="2024-07-17T00:00:00"/>
    <n v="4"/>
    <x v="1"/>
    <x v="2"/>
    <s v="No"/>
    <n v="0"/>
  </r>
  <r>
    <n v="49"/>
    <d v="2024-07-03T00:00:00"/>
    <d v="2024-07-06T00:00:00"/>
    <n v="3"/>
    <x v="1"/>
    <x v="0"/>
    <s v="Yes"/>
    <n v="1"/>
  </r>
  <r>
    <n v="50"/>
    <d v="2024-07-31T00:00:00"/>
    <d v="2024-08-05T00:00:00"/>
    <n v="5"/>
    <x v="2"/>
    <x v="1"/>
    <s v="No"/>
    <n v="0"/>
  </r>
  <r>
    <n v="51"/>
    <d v="2024-07-22T00:00:00"/>
    <d v="2024-07-25T00:00:00"/>
    <n v="3"/>
    <x v="2"/>
    <x v="1"/>
    <s v="Yes"/>
    <n v="1"/>
  </r>
  <r>
    <n v="52"/>
    <d v="2024-07-21T00:00:00"/>
    <d v="2024-07-25T00:00:00"/>
    <n v="4"/>
    <x v="1"/>
    <x v="2"/>
    <s v="No"/>
    <n v="0"/>
  </r>
  <r>
    <n v="53"/>
    <d v="2024-07-24T00:00:00"/>
    <d v="2024-07-25T00:00:00"/>
    <n v="1"/>
    <x v="1"/>
    <x v="2"/>
    <s v="Yes"/>
    <n v="1"/>
  </r>
  <r>
    <n v="54"/>
    <d v="2024-07-07T00:00:00"/>
    <d v="2024-07-08T00:00:00"/>
    <n v="1"/>
    <x v="2"/>
    <x v="1"/>
    <s v="Yes"/>
    <n v="1"/>
  </r>
  <r>
    <n v="55"/>
    <d v="2024-07-05T00:00:00"/>
    <d v="2024-07-10T00:00:00"/>
    <n v="5"/>
    <x v="2"/>
    <x v="1"/>
    <s v="No"/>
    <n v="0"/>
  </r>
  <r>
    <n v="56"/>
    <d v="2024-07-04T00:00:00"/>
    <d v="2024-07-09T00:00:00"/>
    <n v="5"/>
    <x v="2"/>
    <x v="2"/>
    <s v="No"/>
    <n v="0"/>
  </r>
  <r>
    <n v="57"/>
    <d v="2024-07-06T00:00:00"/>
    <d v="2024-07-07T00:00:00"/>
    <n v="1"/>
    <x v="1"/>
    <x v="0"/>
    <s v="Yes"/>
    <n v="1"/>
  </r>
  <r>
    <n v="58"/>
    <d v="2024-07-10T00:00:00"/>
    <d v="2024-07-15T00:00:00"/>
    <n v="5"/>
    <x v="2"/>
    <x v="0"/>
    <s v="No"/>
    <n v="0"/>
  </r>
  <r>
    <n v="59"/>
    <d v="2024-07-17T00:00:00"/>
    <d v="2024-07-22T00:00:00"/>
    <n v="5"/>
    <x v="1"/>
    <x v="1"/>
    <s v="No"/>
    <n v="0"/>
  </r>
  <r>
    <n v="60"/>
    <d v="2024-07-03T00:00:00"/>
    <d v="2024-07-04T00:00:00"/>
    <n v="1"/>
    <x v="2"/>
    <x v="2"/>
    <s v="Yes"/>
    <n v="1"/>
  </r>
  <r>
    <n v="61"/>
    <d v="2024-07-11T00:00:00"/>
    <d v="2024-07-12T00:00:00"/>
    <n v="1"/>
    <x v="0"/>
    <x v="1"/>
    <s v="Yes"/>
    <n v="1"/>
  </r>
  <r>
    <n v="62"/>
    <d v="2024-07-30T00:00:00"/>
    <d v="2024-08-03T00:00:00"/>
    <n v="4"/>
    <x v="2"/>
    <x v="0"/>
    <s v="No"/>
    <n v="0"/>
  </r>
  <r>
    <n v="63"/>
    <d v="2024-07-08T00:00:00"/>
    <d v="2024-07-12T00:00:00"/>
    <n v="4"/>
    <x v="1"/>
    <x v="0"/>
    <s v="No"/>
    <n v="0"/>
  </r>
  <r>
    <n v="64"/>
    <d v="2024-07-03T00:00:00"/>
    <d v="2024-07-08T00:00:00"/>
    <n v="5"/>
    <x v="0"/>
    <x v="0"/>
    <s v="No"/>
    <n v="0"/>
  </r>
  <r>
    <n v="65"/>
    <d v="2024-07-25T00:00:00"/>
    <d v="2024-07-28T00:00:00"/>
    <n v="3"/>
    <x v="2"/>
    <x v="0"/>
    <s v="Yes"/>
    <n v="1"/>
  </r>
  <r>
    <n v="66"/>
    <d v="2024-07-25T00:00:00"/>
    <d v="2024-07-29T00:00:00"/>
    <n v="4"/>
    <x v="0"/>
    <x v="0"/>
    <s v="No"/>
    <n v="0"/>
  </r>
  <r>
    <n v="67"/>
    <d v="2024-07-28T00:00:00"/>
    <d v="2024-08-01T00:00:00"/>
    <n v="4"/>
    <x v="1"/>
    <x v="1"/>
    <s v="No"/>
    <n v="0"/>
  </r>
  <r>
    <n v="68"/>
    <d v="2024-07-05T00:00:00"/>
    <d v="2024-07-06T00:00:00"/>
    <n v="1"/>
    <x v="1"/>
    <x v="2"/>
    <s v="Yes"/>
    <n v="1"/>
  </r>
  <r>
    <n v="69"/>
    <d v="2024-07-21T00:00:00"/>
    <d v="2024-07-25T00:00:00"/>
    <n v="4"/>
    <x v="2"/>
    <x v="2"/>
    <s v="No"/>
    <n v="0"/>
  </r>
  <r>
    <n v="70"/>
    <d v="2024-07-13T00:00:00"/>
    <d v="2024-07-18T00:00:00"/>
    <n v="5"/>
    <x v="0"/>
    <x v="2"/>
    <s v="No"/>
    <n v="0"/>
  </r>
  <r>
    <n v="71"/>
    <d v="2024-07-11T00:00:00"/>
    <d v="2024-07-16T00:00:00"/>
    <n v="5"/>
    <x v="1"/>
    <x v="2"/>
    <s v="No"/>
    <n v="0"/>
  </r>
  <r>
    <n v="72"/>
    <d v="2024-07-22T00:00:00"/>
    <d v="2024-07-24T00:00:00"/>
    <n v="2"/>
    <x v="0"/>
    <x v="0"/>
    <s v="Yes"/>
    <n v="1"/>
  </r>
  <r>
    <n v="73"/>
    <d v="2024-07-07T00:00:00"/>
    <d v="2024-07-09T00:00:00"/>
    <n v="2"/>
    <x v="1"/>
    <x v="1"/>
    <s v="Yes"/>
    <n v="1"/>
  </r>
  <r>
    <n v="74"/>
    <d v="2024-07-23T00:00:00"/>
    <d v="2024-07-24T00:00:00"/>
    <n v="1"/>
    <x v="0"/>
    <x v="2"/>
    <s v="Yes"/>
    <n v="1"/>
  </r>
  <r>
    <n v="75"/>
    <d v="2024-07-19T00:00:00"/>
    <d v="2024-07-22T00:00:00"/>
    <n v="3"/>
    <x v="0"/>
    <x v="0"/>
    <s v="Yes"/>
    <n v="1"/>
  </r>
  <r>
    <n v="76"/>
    <d v="2024-07-05T00:00:00"/>
    <d v="2024-07-07T00:00:00"/>
    <n v="2"/>
    <x v="0"/>
    <x v="1"/>
    <s v="Yes"/>
    <n v="1"/>
  </r>
  <r>
    <n v="77"/>
    <d v="2024-07-04T00:00:00"/>
    <d v="2024-07-08T00:00:00"/>
    <n v="4"/>
    <x v="1"/>
    <x v="1"/>
    <s v="No"/>
    <n v="0"/>
  </r>
  <r>
    <n v="78"/>
    <d v="2024-07-14T00:00:00"/>
    <d v="2024-07-19T00:00:00"/>
    <n v="5"/>
    <x v="2"/>
    <x v="1"/>
    <s v="No"/>
    <n v="0"/>
  </r>
  <r>
    <n v="79"/>
    <d v="2024-07-29T00:00:00"/>
    <d v="2024-07-30T00:00:00"/>
    <n v="1"/>
    <x v="1"/>
    <x v="1"/>
    <s v="Yes"/>
    <n v="1"/>
  </r>
  <r>
    <n v="80"/>
    <d v="2024-07-05T00:00:00"/>
    <d v="2024-07-07T00:00:00"/>
    <n v="2"/>
    <x v="0"/>
    <x v="1"/>
    <s v="Yes"/>
    <n v="1"/>
  </r>
  <r>
    <n v="81"/>
    <d v="2024-07-06T00:00:00"/>
    <d v="2024-07-08T00:00:00"/>
    <n v="2"/>
    <x v="1"/>
    <x v="2"/>
    <s v="Yes"/>
    <n v="1"/>
  </r>
  <r>
    <n v="82"/>
    <d v="2024-07-07T00:00:00"/>
    <d v="2024-07-09T00:00:00"/>
    <n v="2"/>
    <x v="0"/>
    <x v="2"/>
    <s v="Yes"/>
    <n v="1"/>
  </r>
  <r>
    <n v="83"/>
    <d v="2024-07-28T00:00:00"/>
    <d v="2024-07-29T00:00:00"/>
    <n v="1"/>
    <x v="0"/>
    <x v="2"/>
    <s v="Yes"/>
    <n v="1"/>
  </r>
  <r>
    <n v="84"/>
    <d v="2024-07-01T00:00:00"/>
    <d v="2024-07-05T00:00:00"/>
    <n v="4"/>
    <x v="0"/>
    <x v="1"/>
    <s v="No"/>
    <n v="0"/>
  </r>
  <r>
    <n v="85"/>
    <d v="2024-07-02T00:00:00"/>
    <d v="2024-07-05T00:00:00"/>
    <n v="3"/>
    <x v="2"/>
    <x v="2"/>
    <s v="Yes"/>
    <n v="1"/>
  </r>
  <r>
    <n v="86"/>
    <d v="2024-07-30T00:00:00"/>
    <d v="2024-08-02T00:00:00"/>
    <n v="3"/>
    <x v="1"/>
    <x v="1"/>
    <s v="Yes"/>
    <n v="1"/>
  </r>
  <r>
    <n v="87"/>
    <d v="2024-07-12T00:00:00"/>
    <d v="2024-07-15T00:00:00"/>
    <n v="3"/>
    <x v="0"/>
    <x v="1"/>
    <s v="Yes"/>
    <n v="1"/>
  </r>
  <r>
    <n v="88"/>
    <d v="2024-07-24T00:00:00"/>
    <d v="2024-07-26T00:00:00"/>
    <n v="2"/>
    <x v="1"/>
    <x v="2"/>
    <s v="Yes"/>
    <n v="1"/>
  </r>
  <r>
    <n v="89"/>
    <d v="2024-07-27T00:00:00"/>
    <d v="2024-07-28T00:00:00"/>
    <n v="1"/>
    <x v="0"/>
    <x v="0"/>
    <s v="Yes"/>
    <n v="1"/>
  </r>
  <r>
    <n v="90"/>
    <d v="2024-07-20T00:00:00"/>
    <d v="2024-07-24T00:00:00"/>
    <n v="4"/>
    <x v="0"/>
    <x v="0"/>
    <s v="No"/>
    <n v="0"/>
  </r>
  <r>
    <n v="91"/>
    <d v="2024-07-26T00:00:00"/>
    <d v="2024-07-31T00:00:00"/>
    <n v="5"/>
    <x v="1"/>
    <x v="1"/>
    <s v="No"/>
    <n v="0"/>
  </r>
  <r>
    <n v="92"/>
    <d v="2024-07-19T00:00:00"/>
    <d v="2024-07-21T00:00:00"/>
    <n v="2"/>
    <x v="0"/>
    <x v="2"/>
    <s v="Yes"/>
    <n v="1"/>
  </r>
  <r>
    <n v="93"/>
    <d v="2024-07-28T00:00:00"/>
    <d v="2024-08-01T00:00:00"/>
    <n v="4"/>
    <x v="1"/>
    <x v="0"/>
    <s v="No"/>
    <n v="0"/>
  </r>
  <r>
    <n v="94"/>
    <d v="2024-07-11T00:00:00"/>
    <d v="2024-07-12T00:00:00"/>
    <n v="1"/>
    <x v="0"/>
    <x v="1"/>
    <s v="Yes"/>
    <n v="1"/>
  </r>
  <r>
    <n v="95"/>
    <d v="2024-07-07T00:00:00"/>
    <d v="2024-07-09T00:00:00"/>
    <n v="2"/>
    <x v="2"/>
    <x v="0"/>
    <s v="Yes"/>
    <n v="1"/>
  </r>
  <r>
    <n v="96"/>
    <d v="2024-07-25T00:00:00"/>
    <d v="2024-07-27T00:00:00"/>
    <n v="2"/>
    <x v="0"/>
    <x v="1"/>
    <s v="Yes"/>
    <n v="1"/>
  </r>
  <r>
    <n v="97"/>
    <d v="2024-07-12T00:00:00"/>
    <d v="2024-07-16T00:00:00"/>
    <n v="4"/>
    <x v="0"/>
    <x v="1"/>
    <s v="No"/>
    <n v="0"/>
  </r>
  <r>
    <n v="98"/>
    <d v="2024-07-09T00:00:00"/>
    <d v="2024-07-13T00:00:00"/>
    <n v="4"/>
    <x v="2"/>
    <x v="1"/>
    <s v="No"/>
    <n v="0"/>
  </r>
  <r>
    <n v="99"/>
    <d v="2024-07-03T00:00:00"/>
    <d v="2024-07-07T00:00:00"/>
    <n v="4"/>
    <x v="1"/>
    <x v="0"/>
    <s v="No"/>
    <n v="0"/>
  </r>
  <r>
    <n v="100"/>
    <d v="2024-07-10T00:00:00"/>
    <d v="2024-07-12T00:00:00"/>
    <n v="2"/>
    <x v="2"/>
    <x v="1"/>
    <s v="Yes"/>
    <n v="1"/>
  </r>
  <r>
    <n v="101"/>
    <d v="2024-07-23T00:00:00"/>
    <d v="2024-07-24T00:00:00"/>
    <n v="1"/>
    <x v="1"/>
    <x v="1"/>
    <s v="Yes"/>
    <n v="1"/>
  </r>
  <r>
    <n v="102"/>
    <d v="2024-07-16T00:00:00"/>
    <d v="2024-07-19T00:00:00"/>
    <n v="3"/>
    <x v="2"/>
    <x v="0"/>
    <s v="Yes"/>
    <n v="1"/>
  </r>
  <r>
    <n v="103"/>
    <d v="2024-07-15T00:00:00"/>
    <d v="2024-07-18T00:00:00"/>
    <n v="3"/>
    <x v="2"/>
    <x v="1"/>
    <s v="Yes"/>
    <n v="1"/>
  </r>
  <r>
    <n v="104"/>
    <d v="2024-07-18T00:00:00"/>
    <d v="2024-07-19T00:00:00"/>
    <n v="1"/>
    <x v="2"/>
    <x v="1"/>
    <s v="Yes"/>
    <n v="1"/>
  </r>
  <r>
    <n v="105"/>
    <d v="2024-07-18T00:00:00"/>
    <d v="2024-07-19T00:00:00"/>
    <n v="1"/>
    <x v="0"/>
    <x v="0"/>
    <s v="Yes"/>
    <n v="1"/>
  </r>
  <r>
    <n v="106"/>
    <d v="2024-07-05T00:00:00"/>
    <d v="2024-07-06T00:00:00"/>
    <n v="1"/>
    <x v="2"/>
    <x v="0"/>
    <s v="Yes"/>
    <n v="1"/>
  </r>
  <r>
    <n v="107"/>
    <d v="2024-07-29T00:00:00"/>
    <d v="2024-07-31T00:00:00"/>
    <n v="2"/>
    <x v="1"/>
    <x v="2"/>
    <s v="Yes"/>
    <n v="1"/>
  </r>
  <r>
    <n v="108"/>
    <d v="2024-07-05T00:00:00"/>
    <d v="2024-07-06T00:00:00"/>
    <n v="1"/>
    <x v="2"/>
    <x v="1"/>
    <s v="Yes"/>
    <n v="1"/>
  </r>
  <r>
    <n v="109"/>
    <d v="2024-07-26T00:00:00"/>
    <d v="2024-07-30T00:00:00"/>
    <n v="4"/>
    <x v="1"/>
    <x v="0"/>
    <s v="No"/>
    <n v="0"/>
  </r>
  <r>
    <n v="110"/>
    <d v="2024-07-17T00:00:00"/>
    <d v="2024-07-21T00:00:00"/>
    <n v="4"/>
    <x v="1"/>
    <x v="0"/>
    <s v="No"/>
    <n v="0"/>
  </r>
  <r>
    <n v="111"/>
    <d v="2024-07-01T00:00:00"/>
    <d v="2024-07-04T00:00:00"/>
    <n v="3"/>
    <x v="1"/>
    <x v="0"/>
    <s v="Yes"/>
    <n v="1"/>
  </r>
  <r>
    <n v="112"/>
    <d v="2024-07-01T00:00:00"/>
    <d v="2024-07-05T00:00:00"/>
    <n v="4"/>
    <x v="0"/>
    <x v="2"/>
    <s v="No"/>
    <n v="0"/>
  </r>
  <r>
    <n v="113"/>
    <d v="2024-07-17T00:00:00"/>
    <d v="2024-07-21T00:00:00"/>
    <n v="4"/>
    <x v="2"/>
    <x v="2"/>
    <s v="No"/>
    <n v="0"/>
  </r>
  <r>
    <n v="114"/>
    <d v="2024-07-28T00:00:00"/>
    <d v="2024-07-29T00:00:00"/>
    <n v="1"/>
    <x v="0"/>
    <x v="1"/>
    <s v="Yes"/>
    <n v="1"/>
  </r>
  <r>
    <n v="115"/>
    <d v="2024-07-20T00:00:00"/>
    <d v="2024-07-25T00:00:00"/>
    <n v="5"/>
    <x v="1"/>
    <x v="2"/>
    <s v="No"/>
    <n v="0"/>
  </r>
  <r>
    <n v="116"/>
    <d v="2024-07-18T00:00:00"/>
    <d v="2024-07-19T00:00:00"/>
    <n v="1"/>
    <x v="2"/>
    <x v="0"/>
    <s v="Yes"/>
    <n v="1"/>
  </r>
  <r>
    <n v="117"/>
    <d v="2024-07-14T00:00:00"/>
    <d v="2024-07-18T00:00:00"/>
    <n v="4"/>
    <x v="2"/>
    <x v="2"/>
    <s v="No"/>
    <n v="0"/>
  </r>
  <r>
    <n v="118"/>
    <d v="2024-07-09T00:00:00"/>
    <d v="2024-07-10T00:00:00"/>
    <n v="1"/>
    <x v="2"/>
    <x v="1"/>
    <s v="Yes"/>
    <n v="1"/>
  </r>
  <r>
    <n v="119"/>
    <d v="2024-07-16T00:00:00"/>
    <d v="2024-07-19T00:00:00"/>
    <n v="3"/>
    <x v="0"/>
    <x v="2"/>
    <s v="Yes"/>
    <n v="1"/>
  </r>
  <r>
    <n v="120"/>
    <d v="2024-07-03T00:00:00"/>
    <d v="2024-07-07T00:00:00"/>
    <n v="4"/>
    <x v="1"/>
    <x v="0"/>
    <s v="No"/>
    <n v="0"/>
  </r>
  <r>
    <n v="121"/>
    <d v="2024-07-14T00:00:00"/>
    <d v="2024-07-16T00:00:00"/>
    <n v="2"/>
    <x v="0"/>
    <x v="2"/>
    <s v="Yes"/>
    <n v="1"/>
  </r>
  <r>
    <n v="122"/>
    <d v="2024-07-12T00:00:00"/>
    <d v="2024-07-14T00:00:00"/>
    <n v="2"/>
    <x v="0"/>
    <x v="0"/>
    <s v="Yes"/>
    <n v="1"/>
  </r>
  <r>
    <n v="123"/>
    <d v="2024-07-09T00:00:00"/>
    <d v="2024-07-14T00:00:00"/>
    <n v="5"/>
    <x v="2"/>
    <x v="2"/>
    <s v="No"/>
    <n v="0"/>
  </r>
  <r>
    <n v="124"/>
    <d v="2024-07-17T00:00:00"/>
    <d v="2024-07-22T00:00:00"/>
    <n v="5"/>
    <x v="2"/>
    <x v="0"/>
    <s v="No"/>
    <n v="0"/>
  </r>
  <r>
    <n v="125"/>
    <d v="2024-07-24T00:00:00"/>
    <d v="2024-07-29T00:00:00"/>
    <n v="5"/>
    <x v="0"/>
    <x v="2"/>
    <s v="No"/>
    <n v="0"/>
  </r>
  <r>
    <n v="126"/>
    <d v="2024-07-18T00:00:00"/>
    <d v="2024-07-20T00:00:00"/>
    <n v="2"/>
    <x v="1"/>
    <x v="0"/>
    <s v="Yes"/>
    <n v="1"/>
  </r>
  <r>
    <n v="127"/>
    <d v="2024-07-08T00:00:00"/>
    <d v="2024-07-11T00:00:00"/>
    <n v="3"/>
    <x v="1"/>
    <x v="2"/>
    <s v="Yes"/>
    <n v="1"/>
  </r>
  <r>
    <n v="128"/>
    <d v="2024-07-26T00:00:00"/>
    <d v="2024-07-29T00:00:00"/>
    <n v="3"/>
    <x v="2"/>
    <x v="2"/>
    <s v="Yes"/>
    <n v="1"/>
  </r>
  <r>
    <n v="129"/>
    <d v="2024-07-04T00:00:00"/>
    <d v="2024-07-08T00:00:00"/>
    <n v="4"/>
    <x v="0"/>
    <x v="1"/>
    <s v="No"/>
    <n v="0"/>
  </r>
  <r>
    <n v="130"/>
    <d v="2024-07-27T00:00:00"/>
    <d v="2024-07-30T00:00:00"/>
    <n v="3"/>
    <x v="0"/>
    <x v="1"/>
    <s v="Yes"/>
    <n v="1"/>
  </r>
  <r>
    <n v="131"/>
    <d v="2024-07-13T00:00:00"/>
    <d v="2024-07-14T00:00:00"/>
    <n v="1"/>
    <x v="1"/>
    <x v="1"/>
    <s v="Yes"/>
    <n v="1"/>
  </r>
  <r>
    <n v="132"/>
    <d v="2024-07-05T00:00:00"/>
    <d v="2024-07-10T00:00:00"/>
    <n v="5"/>
    <x v="1"/>
    <x v="0"/>
    <s v="No"/>
    <n v="0"/>
  </r>
  <r>
    <n v="133"/>
    <d v="2024-07-10T00:00:00"/>
    <d v="2024-07-14T00:00:00"/>
    <n v="4"/>
    <x v="1"/>
    <x v="2"/>
    <s v="No"/>
    <n v="0"/>
  </r>
  <r>
    <n v="134"/>
    <d v="2024-07-08T00:00:00"/>
    <d v="2024-07-13T00:00:00"/>
    <n v="5"/>
    <x v="2"/>
    <x v="0"/>
    <s v="No"/>
    <n v="0"/>
  </r>
  <r>
    <n v="135"/>
    <d v="2024-07-13T00:00:00"/>
    <d v="2024-07-17T00:00:00"/>
    <n v="4"/>
    <x v="0"/>
    <x v="0"/>
    <s v="No"/>
    <n v="0"/>
  </r>
  <r>
    <n v="136"/>
    <d v="2024-07-24T00:00:00"/>
    <d v="2024-07-25T00:00:00"/>
    <n v="1"/>
    <x v="0"/>
    <x v="2"/>
    <s v="Yes"/>
    <n v="1"/>
  </r>
  <r>
    <n v="137"/>
    <d v="2024-07-29T00:00:00"/>
    <d v="2024-07-31T00:00:00"/>
    <n v="2"/>
    <x v="1"/>
    <x v="1"/>
    <s v="Yes"/>
    <n v="1"/>
  </r>
  <r>
    <n v="138"/>
    <d v="2024-07-19T00:00:00"/>
    <d v="2024-07-23T00:00:00"/>
    <n v="4"/>
    <x v="2"/>
    <x v="2"/>
    <s v="No"/>
    <n v="0"/>
  </r>
  <r>
    <n v="139"/>
    <d v="2024-07-18T00:00:00"/>
    <d v="2024-07-23T00:00:00"/>
    <n v="5"/>
    <x v="2"/>
    <x v="1"/>
    <s v="No"/>
    <n v="0"/>
  </r>
  <r>
    <n v="140"/>
    <d v="2024-07-28T00:00:00"/>
    <d v="2024-08-01T00:00:00"/>
    <n v="4"/>
    <x v="2"/>
    <x v="2"/>
    <s v="No"/>
    <n v="0"/>
  </r>
  <r>
    <n v="141"/>
    <d v="2024-07-03T00:00:00"/>
    <d v="2024-07-05T00:00:00"/>
    <n v="2"/>
    <x v="2"/>
    <x v="0"/>
    <s v="Yes"/>
    <n v="1"/>
  </r>
  <r>
    <n v="142"/>
    <d v="2024-07-31T00:00:00"/>
    <d v="2024-08-03T00:00:00"/>
    <n v="3"/>
    <x v="2"/>
    <x v="0"/>
    <s v="Yes"/>
    <n v="1"/>
  </r>
  <r>
    <n v="143"/>
    <d v="2024-07-07T00:00:00"/>
    <d v="2024-07-12T00:00:00"/>
    <n v="5"/>
    <x v="1"/>
    <x v="2"/>
    <s v="No"/>
    <n v="0"/>
  </r>
  <r>
    <n v="144"/>
    <d v="2024-07-15T00:00:00"/>
    <d v="2024-07-16T00:00:00"/>
    <n v="1"/>
    <x v="1"/>
    <x v="0"/>
    <s v="Yes"/>
    <n v="1"/>
  </r>
  <r>
    <n v="145"/>
    <d v="2024-07-15T00:00:00"/>
    <d v="2024-07-18T00:00:00"/>
    <n v="3"/>
    <x v="1"/>
    <x v="0"/>
    <s v="Yes"/>
    <n v="1"/>
  </r>
  <r>
    <n v="146"/>
    <d v="2024-07-12T00:00:00"/>
    <d v="2024-07-15T00:00:00"/>
    <n v="3"/>
    <x v="2"/>
    <x v="1"/>
    <s v="Yes"/>
    <n v="1"/>
  </r>
  <r>
    <n v="147"/>
    <d v="2024-07-22T00:00:00"/>
    <d v="2024-07-23T00:00:00"/>
    <n v="1"/>
    <x v="1"/>
    <x v="2"/>
    <s v="Yes"/>
    <n v="1"/>
  </r>
  <r>
    <n v="148"/>
    <d v="2024-07-23T00:00:00"/>
    <d v="2024-07-27T00:00:00"/>
    <n v="4"/>
    <x v="2"/>
    <x v="1"/>
    <s v="No"/>
    <n v="0"/>
  </r>
  <r>
    <n v="149"/>
    <d v="2024-07-28T00:00:00"/>
    <d v="2024-07-31T00:00:00"/>
    <n v="3"/>
    <x v="2"/>
    <x v="0"/>
    <s v="Yes"/>
    <n v="1"/>
  </r>
  <r>
    <n v="150"/>
    <d v="2024-07-03T00:00:00"/>
    <d v="2024-07-06T00:00:00"/>
    <n v="3"/>
    <x v="0"/>
    <x v="1"/>
    <s v="Yes"/>
    <n v="1"/>
  </r>
  <r>
    <n v="151"/>
    <d v="2024-07-13T00:00:00"/>
    <d v="2024-07-17T00:00:00"/>
    <n v="4"/>
    <x v="1"/>
    <x v="0"/>
    <s v="No"/>
    <n v="0"/>
  </r>
  <r>
    <n v="152"/>
    <d v="2024-07-03T00:00:00"/>
    <d v="2024-07-07T00:00:00"/>
    <n v="4"/>
    <x v="1"/>
    <x v="1"/>
    <s v="No"/>
    <n v="0"/>
  </r>
  <r>
    <n v="153"/>
    <d v="2024-07-24T00:00:00"/>
    <d v="2024-07-26T00:00:00"/>
    <n v="2"/>
    <x v="0"/>
    <x v="2"/>
    <s v="Yes"/>
    <n v="1"/>
  </r>
  <r>
    <n v="154"/>
    <d v="2024-07-04T00:00:00"/>
    <d v="2024-07-08T00:00:00"/>
    <n v="4"/>
    <x v="0"/>
    <x v="0"/>
    <s v="No"/>
    <n v="0"/>
  </r>
  <r>
    <n v="155"/>
    <d v="2024-07-30T00:00:00"/>
    <d v="2024-08-02T00:00:00"/>
    <n v="3"/>
    <x v="0"/>
    <x v="1"/>
    <s v="Yes"/>
    <n v="1"/>
  </r>
  <r>
    <n v="156"/>
    <d v="2024-07-11T00:00:00"/>
    <d v="2024-07-14T00:00:00"/>
    <n v="3"/>
    <x v="2"/>
    <x v="0"/>
    <s v="Yes"/>
    <n v="1"/>
  </r>
  <r>
    <n v="157"/>
    <d v="2024-07-27T00:00:00"/>
    <d v="2024-07-29T00:00:00"/>
    <n v="2"/>
    <x v="2"/>
    <x v="0"/>
    <s v="Yes"/>
    <n v="1"/>
  </r>
  <r>
    <n v="158"/>
    <d v="2024-07-11T00:00:00"/>
    <d v="2024-07-13T00:00:00"/>
    <n v="2"/>
    <x v="0"/>
    <x v="2"/>
    <s v="Yes"/>
    <n v="1"/>
  </r>
  <r>
    <n v="159"/>
    <d v="2024-07-27T00:00:00"/>
    <d v="2024-07-28T00:00:00"/>
    <n v="1"/>
    <x v="1"/>
    <x v="0"/>
    <s v="Yes"/>
    <n v="1"/>
  </r>
  <r>
    <n v="160"/>
    <d v="2024-07-16T00:00:00"/>
    <d v="2024-07-20T00:00:00"/>
    <n v="4"/>
    <x v="1"/>
    <x v="1"/>
    <s v="No"/>
    <n v="0"/>
  </r>
  <r>
    <n v="161"/>
    <d v="2024-07-17T00:00:00"/>
    <d v="2024-07-18T00:00:00"/>
    <n v="1"/>
    <x v="2"/>
    <x v="2"/>
    <s v="Yes"/>
    <n v="1"/>
  </r>
  <r>
    <n v="162"/>
    <d v="2024-07-16T00:00:00"/>
    <d v="2024-07-19T00:00:00"/>
    <n v="3"/>
    <x v="2"/>
    <x v="1"/>
    <s v="Yes"/>
    <n v="1"/>
  </r>
  <r>
    <n v="163"/>
    <d v="2024-07-12T00:00:00"/>
    <d v="2024-07-14T00:00:00"/>
    <n v="2"/>
    <x v="1"/>
    <x v="2"/>
    <s v="Yes"/>
    <n v="1"/>
  </r>
  <r>
    <n v="164"/>
    <d v="2024-07-17T00:00:00"/>
    <d v="2024-07-22T00:00:00"/>
    <n v="5"/>
    <x v="0"/>
    <x v="1"/>
    <s v="No"/>
    <n v="0"/>
  </r>
  <r>
    <n v="165"/>
    <d v="2024-07-06T00:00:00"/>
    <d v="2024-07-08T00:00:00"/>
    <n v="2"/>
    <x v="2"/>
    <x v="0"/>
    <s v="Yes"/>
    <n v="1"/>
  </r>
  <r>
    <n v="166"/>
    <d v="2024-07-21T00:00:00"/>
    <d v="2024-07-24T00:00:00"/>
    <n v="3"/>
    <x v="2"/>
    <x v="2"/>
    <s v="Yes"/>
    <n v="1"/>
  </r>
  <r>
    <n v="167"/>
    <d v="2024-07-16T00:00:00"/>
    <d v="2024-07-19T00:00:00"/>
    <n v="3"/>
    <x v="0"/>
    <x v="0"/>
    <s v="Yes"/>
    <n v="1"/>
  </r>
  <r>
    <n v="168"/>
    <d v="2024-07-31T00:00:00"/>
    <d v="2024-08-04T00:00:00"/>
    <n v="4"/>
    <x v="2"/>
    <x v="0"/>
    <s v="No"/>
    <n v="0"/>
  </r>
  <r>
    <n v="169"/>
    <d v="2024-07-28T00:00:00"/>
    <d v="2024-07-29T00:00:00"/>
    <n v="1"/>
    <x v="2"/>
    <x v="1"/>
    <s v="Yes"/>
    <n v="1"/>
  </r>
  <r>
    <n v="170"/>
    <d v="2024-07-11T00:00:00"/>
    <d v="2024-07-13T00:00:00"/>
    <n v="2"/>
    <x v="2"/>
    <x v="0"/>
    <s v="Yes"/>
    <n v="1"/>
  </r>
  <r>
    <n v="171"/>
    <d v="2024-07-26T00:00:00"/>
    <d v="2024-07-27T00:00:00"/>
    <n v="1"/>
    <x v="0"/>
    <x v="1"/>
    <s v="Yes"/>
    <n v="1"/>
  </r>
  <r>
    <n v="172"/>
    <d v="2024-07-13T00:00:00"/>
    <d v="2024-07-14T00:00:00"/>
    <n v="1"/>
    <x v="0"/>
    <x v="2"/>
    <s v="Yes"/>
    <n v="1"/>
  </r>
  <r>
    <n v="173"/>
    <d v="2024-07-20T00:00:00"/>
    <d v="2024-07-24T00:00:00"/>
    <n v="4"/>
    <x v="1"/>
    <x v="2"/>
    <s v="No"/>
    <n v="0"/>
  </r>
  <r>
    <n v="174"/>
    <d v="2024-07-18T00:00:00"/>
    <d v="2024-07-20T00:00:00"/>
    <n v="2"/>
    <x v="1"/>
    <x v="2"/>
    <s v="Yes"/>
    <n v="1"/>
  </r>
  <r>
    <n v="175"/>
    <d v="2024-07-24T00:00:00"/>
    <d v="2024-07-29T00:00:00"/>
    <n v="5"/>
    <x v="1"/>
    <x v="0"/>
    <s v="No"/>
    <n v="0"/>
  </r>
  <r>
    <n v="176"/>
    <d v="2024-07-17T00:00:00"/>
    <d v="2024-07-20T00:00:00"/>
    <n v="3"/>
    <x v="0"/>
    <x v="1"/>
    <s v="Yes"/>
    <n v="1"/>
  </r>
  <r>
    <n v="177"/>
    <d v="2024-07-27T00:00:00"/>
    <d v="2024-07-31T00:00:00"/>
    <n v="4"/>
    <x v="2"/>
    <x v="0"/>
    <s v="No"/>
    <n v="0"/>
  </r>
  <r>
    <n v="178"/>
    <d v="2024-07-23T00:00:00"/>
    <d v="2024-07-25T00:00:00"/>
    <n v="2"/>
    <x v="1"/>
    <x v="2"/>
    <s v="Yes"/>
    <n v="1"/>
  </r>
  <r>
    <n v="179"/>
    <d v="2024-07-09T00:00:00"/>
    <d v="2024-07-14T00:00:00"/>
    <n v="5"/>
    <x v="0"/>
    <x v="1"/>
    <s v="No"/>
    <n v="0"/>
  </r>
  <r>
    <n v="180"/>
    <d v="2024-07-31T00:00:00"/>
    <d v="2024-08-05T00:00:00"/>
    <n v="5"/>
    <x v="0"/>
    <x v="0"/>
    <s v="No"/>
    <n v="0"/>
  </r>
  <r>
    <n v="181"/>
    <d v="2024-07-28T00:00:00"/>
    <d v="2024-07-31T00:00:00"/>
    <n v="3"/>
    <x v="0"/>
    <x v="2"/>
    <s v="Yes"/>
    <n v="1"/>
  </r>
  <r>
    <n v="182"/>
    <d v="2024-07-13T00:00:00"/>
    <d v="2024-07-16T00:00:00"/>
    <n v="3"/>
    <x v="2"/>
    <x v="0"/>
    <s v="Yes"/>
    <n v="1"/>
  </r>
  <r>
    <n v="183"/>
    <d v="2024-07-06T00:00:00"/>
    <d v="2024-07-11T00:00:00"/>
    <n v="5"/>
    <x v="0"/>
    <x v="0"/>
    <s v="No"/>
    <n v="0"/>
  </r>
  <r>
    <n v="184"/>
    <d v="2024-07-24T00:00:00"/>
    <d v="2024-07-25T00:00:00"/>
    <n v="1"/>
    <x v="0"/>
    <x v="0"/>
    <s v="Yes"/>
    <n v="1"/>
  </r>
  <r>
    <n v="185"/>
    <d v="2024-07-09T00:00:00"/>
    <d v="2024-07-10T00:00:00"/>
    <n v="1"/>
    <x v="1"/>
    <x v="2"/>
    <s v="Yes"/>
    <n v="1"/>
  </r>
  <r>
    <n v="186"/>
    <d v="2024-07-16T00:00:00"/>
    <d v="2024-07-17T00:00:00"/>
    <n v="1"/>
    <x v="1"/>
    <x v="2"/>
    <s v="Yes"/>
    <n v="1"/>
  </r>
  <r>
    <n v="187"/>
    <d v="2024-07-22T00:00:00"/>
    <d v="2024-07-24T00:00:00"/>
    <n v="2"/>
    <x v="0"/>
    <x v="2"/>
    <s v="Yes"/>
    <n v="1"/>
  </r>
  <r>
    <n v="188"/>
    <d v="2024-07-03T00:00:00"/>
    <d v="2024-07-04T00:00:00"/>
    <n v="1"/>
    <x v="0"/>
    <x v="1"/>
    <s v="Yes"/>
    <n v="1"/>
  </r>
  <r>
    <n v="189"/>
    <d v="2024-07-08T00:00:00"/>
    <d v="2024-07-13T00:00:00"/>
    <n v="5"/>
    <x v="2"/>
    <x v="2"/>
    <s v="No"/>
    <n v="0"/>
  </r>
  <r>
    <n v="190"/>
    <d v="2024-07-14T00:00:00"/>
    <d v="2024-07-17T00:00:00"/>
    <n v="3"/>
    <x v="2"/>
    <x v="0"/>
    <s v="Yes"/>
    <n v="1"/>
  </r>
  <r>
    <n v="191"/>
    <d v="2024-07-27T00:00:00"/>
    <d v="2024-07-30T00:00:00"/>
    <n v="3"/>
    <x v="2"/>
    <x v="1"/>
    <s v="Yes"/>
    <n v="1"/>
  </r>
  <r>
    <n v="192"/>
    <d v="2024-07-14T00:00:00"/>
    <d v="2024-07-16T00:00:00"/>
    <n v="2"/>
    <x v="1"/>
    <x v="0"/>
    <s v="Yes"/>
    <n v="1"/>
  </r>
  <r>
    <n v="193"/>
    <d v="2024-07-08T00:00:00"/>
    <d v="2024-07-13T00:00:00"/>
    <n v="5"/>
    <x v="0"/>
    <x v="0"/>
    <s v="No"/>
    <n v="0"/>
  </r>
  <r>
    <n v="194"/>
    <d v="2024-07-31T00:00:00"/>
    <d v="2024-08-01T00:00:00"/>
    <n v="1"/>
    <x v="1"/>
    <x v="0"/>
    <s v="Yes"/>
    <n v="1"/>
  </r>
  <r>
    <n v="195"/>
    <d v="2024-07-18T00:00:00"/>
    <d v="2024-07-21T00:00:00"/>
    <n v="3"/>
    <x v="1"/>
    <x v="0"/>
    <s v="Yes"/>
    <n v="1"/>
  </r>
  <r>
    <n v="196"/>
    <d v="2024-07-19T00:00:00"/>
    <d v="2024-07-22T00:00:00"/>
    <n v="3"/>
    <x v="0"/>
    <x v="2"/>
    <s v="Yes"/>
    <n v="1"/>
  </r>
  <r>
    <n v="197"/>
    <d v="2024-07-31T00:00:00"/>
    <d v="2024-08-03T00:00:00"/>
    <n v="3"/>
    <x v="2"/>
    <x v="0"/>
    <s v="Yes"/>
    <n v="1"/>
  </r>
  <r>
    <n v="198"/>
    <d v="2024-07-27T00:00:00"/>
    <d v="2024-07-28T00:00:00"/>
    <n v="1"/>
    <x v="0"/>
    <x v="2"/>
    <s v="Yes"/>
    <n v="1"/>
  </r>
  <r>
    <n v="199"/>
    <d v="2024-07-24T00:00:00"/>
    <d v="2024-07-26T00:00:00"/>
    <n v="2"/>
    <x v="0"/>
    <x v="0"/>
    <s v="Yes"/>
    <n v="1"/>
  </r>
  <r>
    <n v="200"/>
    <d v="2024-07-30T00:00:00"/>
    <d v="2024-08-01T00:00:00"/>
    <n v="2"/>
    <x v="2"/>
    <x v="0"/>
    <s v="Yes"/>
    <n v="1"/>
  </r>
  <r>
    <n v="201"/>
    <d v="2024-07-30T00:00:00"/>
    <d v="2024-08-01T00:00:00"/>
    <n v="2"/>
    <x v="0"/>
    <x v="0"/>
    <s v="Yes"/>
    <n v="1"/>
  </r>
  <r>
    <n v="202"/>
    <d v="2024-07-31T00:00:00"/>
    <d v="2024-08-03T00:00:00"/>
    <n v="3"/>
    <x v="2"/>
    <x v="2"/>
    <s v="Yes"/>
    <n v="1"/>
  </r>
  <r>
    <n v="203"/>
    <d v="2024-07-05T00:00:00"/>
    <d v="2024-07-07T00:00:00"/>
    <n v="2"/>
    <x v="1"/>
    <x v="0"/>
    <s v="Yes"/>
    <n v="1"/>
  </r>
  <r>
    <n v="204"/>
    <d v="2024-07-06T00:00:00"/>
    <d v="2024-07-07T00:00:00"/>
    <n v="1"/>
    <x v="2"/>
    <x v="1"/>
    <s v="Yes"/>
    <n v="1"/>
  </r>
  <r>
    <n v="205"/>
    <d v="2024-07-13T00:00:00"/>
    <d v="2024-07-14T00:00:00"/>
    <n v="1"/>
    <x v="1"/>
    <x v="0"/>
    <s v="Yes"/>
    <n v="1"/>
  </r>
  <r>
    <n v="206"/>
    <d v="2024-07-09T00:00:00"/>
    <d v="2024-07-13T00:00:00"/>
    <n v="4"/>
    <x v="1"/>
    <x v="1"/>
    <s v="No"/>
    <n v="0"/>
  </r>
  <r>
    <n v="207"/>
    <d v="2024-07-07T00:00:00"/>
    <d v="2024-07-10T00:00:00"/>
    <n v="3"/>
    <x v="0"/>
    <x v="0"/>
    <s v="Yes"/>
    <n v="1"/>
  </r>
  <r>
    <n v="208"/>
    <d v="2024-07-08T00:00:00"/>
    <d v="2024-07-13T00:00:00"/>
    <n v="5"/>
    <x v="1"/>
    <x v="2"/>
    <s v="No"/>
    <n v="0"/>
  </r>
  <r>
    <n v="209"/>
    <d v="2024-07-20T00:00:00"/>
    <d v="2024-07-24T00:00:00"/>
    <n v="4"/>
    <x v="2"/>
    <x v="1"/>
    <s v="No"/>
    <n v="0"/>
  </r>
  <r>
    <n v="210"/>
    <d v="2024-07-01T00:00:00"/>
    <d v="2024-07-05T00:00:00"/>
    <n v="4"/>
    <x v="0"/>
    <x v="2"/>
    <s v="No"/>
    <n v="0"/>
  </r>
  <r>
    <n v="211"/>
    <d v="2024-07-12T00:00:00"/>
    <d v="2024-07-13T00:00:00"/>
    <n v="1"/>
    <x v="0"/>
    <x v="1"/>
    <s v="Yes"/>
    <n v="1"/>
  </r>
  <r>
    <n v="212"/>
    <d v="2024-07-26T00:00:00"/>
    <d v="2024-07-27T00:00:00"/>
    <n v="1"/>
    <x v="1"/>
    <x v="1"/>
    <s v="Yes"/>
    <n v="1"/>
  </r>
  <r>
    <n v="213"/>
    <d v="2024-07-07T00:00:00"/>
    <d v="2024-07-12T00:00:00"/>
    <n v="5"/>
    <x v="2"/>
    <x v="0"/>
    <s v="No"/>
    <n v="0"/>
  </r>
  <r>
    <n v="214"/>
    <d v="2024-07-21T00:00:00"/>
    <d v="2024-07-23T00:00:00"/>
    <n v="2"/>
    <x v="1"/>
    <x v="1"/>
    <s v="Yes"/>
    <n v="1"/>
  </r>
  <r>
    <n v="215"/>
    <d v="2024-07-02T00:00:00"/>
    <d v="2024-07-04T00:00:00"/>
    <n v="2"/>
    <x v="1"/>
    <x v="0"/>
    <s v="Yes"/>
    <n v="1"/>
  </r>
  <r>
    <n v="216"/>
    <d v="2024-07-11T00:00:00"/>
    <d v="2024-07-16T00:00:00"/>
    <n v="5"/>
    <x v="2"/>
    <x v="1"/>
    <s v="No"/>
    <n v="0"/>
  </r>
  <r>
    <n v="217"/>
    <d v="2024-07-13T00:00:00"/>
    <d v="2024-07-15T00:00:00"/>
    <n v="2"/>
    <x v="2"/>
    <x v="1"/>
    <s v="Yes"/>
    <n v="1"/>
  </r>
  <r>
    <n v="218"/>
    <d v="2024-07-14T00:00:00"/>
    <d v="2024-07-17T00:00:00"/>
    <n v="3"/>
    <x v="1"/>
    <x v="2"/>
    <s v="Yes"/>
    <n v="1"/>
  </r>
  <r>
    <n v="219"/>
    <d v="2024-07-02T00:00:00"/>
    <d v="2024-07-04T00:00:00"/>
    <n v="2"/>
    <x v="1"/>
    <x v="1"/>
    <s v="Yes"/>
    <n v="1"/>
  </r>
  <r>
    <n v="220"/>
    <d v="2024-07-05T00:00:00"/>
    <d v="2024-07-06T00:00:00"/>
    <n v="1"/>
    <x v="2"/>
    <x v="1"/>
    <s v="Yes"/>
    <n v="1"/>
  </r>
  <r>
    <n v="221"/>
    <d v="2024-07-17T00:00:00"/>
    <d v="2024-07-19T00:00:00"/>
    <n v="2"/>
    <x v="0"/>
    <x v="1"/>
    <s v="Yes"/>
    <n v="1"/>
  </r>
  <r>
    <n v="222"/>
    <d v="2024-07-21T00:00:00"/>
    <d v="2024-07-22T00:00:00"/>
    <n v="1"/>
    <x v="2"/>
    <x v="2"/>
    <s v="Yes"/>
    <n v="1"/>
  </r>
  <r>
    <n v="223"/>
    <d v="2024-07-24T00:00:00"/>
    <d v="2024-07-26T00:00:00"/>
    <n v="2"/>
    <x v="1"/>
    <x v="0"/>
    <s v="Yes"/>
    <n v="1"/>
  </r>
  <r>
    <n v="224"/>
    <d v="2024-07-03T00:00:00"/>
    <d v="2024-07-07T00:00:00"/>
    <n v="4"/>
    <x v="0"/>
    <x v="1"/>
    <s v="No"/>
    <n v="0"/>
  </r>
  <r>
    <n v="225"/>
    <d v="2024-07-02T00:00:00"/>
    <d v="2024-07-06T00:00:00"/>
    <n v="4"/>
    <x v="0"/>
    <x v="0"/>
    <s v="No"/>
    <n v="0"/>
  </r>
  <r>
    <n v="226"/>
    <d v="2024-07-30T00:00:00"/>
    <d v="2024-08-01T00:00:00"/>
    <n v="2"/>
    <x v="1"/>
    <x v="0"/>
    <s v="Yes"/>
    <n v="1"/>
  </r>
  <r>
    <n v="227"/>
    <d v="2024-07-28T00:00:00"/>
    <d v="2024-08-02T00:00:00"/>
    <n v="5"/>
    <x v="1"/>
    <x v="2"/>
    <s v="No"/>
    <n v="0"/>
  </r>
  <r>
    <n v="228"/>
    <d v="2024-07-26T00:00:00"/>
    <d v="2024-07-30T00:00:00"/>
    <n v="4"/>
    <x v="0"/>
    <x v="0"/>
    <s v="No"/>
    <n v="0"/>
  </r>
  <r>
    <n v="229"/>
    <d v="2024-07-30T00:00:00"/>
    <d v="2024-08-03T00:00:00"/>
    <n v="4"/>
    <x v="1"/>
    <x v="1"/>
    <s v="No"/>
    <n v="0"/>
  </r>
  <r>
    <n v="230"/>
    <d v="2024-07-17T00:00:00"/>
    <d v="2024-07-21T00:00:00"/>
    <n v="4"/>
    <x v="2"/>
    <x v="1"/>
    <s v="No"/>
    <n v="0"/>
  </r>
  <r>
    <n v="231"/>
    <d v="2024-07-13T00:00:00"/>
    <d v="2024-07-18T00:00:00"/>
    <n v="5"/>
    <x v="2"/>
    <x v="0"/>
    <s v="No"/>
    <n v="0"/>
  </r>
  <r>
    <n v="232"/>
    <d v="2024-07-15T00:00:00"/>
    <d v="2024-07-17T00:00:00"/>
    <n v="2"/>
    <x v="2"/>
    <x v="1"/>
    <s v="Yes"/>
    <n v="1"/>
  </r>
  <r>
    <n v="233"/>
    <d v="2024-07-30T00:00:00"/>
    <d v="2024-07-31T00:00:00"/>
    <n v="1"/>
    <x v="2"/>
    <x v="0"/>
    <s v="Yes"/>
    <n v="1"/>
  </r>
  <r>
    <n v="234"/>
    <d v="2024-07-21T00:00:00"/>
    <d v="2024-07-22T00:00:00"/>
    <n v="1"/>
    <x v="1"/>
    <x v="1"/>
    <s v="Yes"/>
    <n v="1"/>
  </r>
  <r>
    <n v="235"/>
    <d v="2024-07-22T00:00:00"/>
    <d v="2024-07-27T00:00:00"/>
    <n v="5"/>
    <x v="2"/>
    <x v="0"/>
    <s v="No"/>
    <n v="0"/>
  </r>
  <r>
    <n v="236"/>
    <d v="2024-07-24T00:00:00"/>
    <d v="2024-07-29T00:00:00"/>
    <n v="5"/>
    <x v="0"/>
    <x v="0"/>
    <s v="No"/>
    <n v="0"/>
  </r>
  <r>
    <n v="237"/>
    <d v="2024-07-28T00:00:00"/>
    <d v="2024-07-30T00:00:00"/>
    <n v="2"/>
    <x v="0"/>
    <x v="1"/>
    <s v="Yes"/>
    <n v="1"/>
  </r>
  <r>
    <n v="238"/>
    <d v="2024-07-11T00:00:00"/>
    <d v="2024-07-15T00:00:00"/>
    <n v="4"/>
    <x v="1"/>
    <x v="1"/>
    <s v="No"/>
    <n v="0"/>
  </r>
  <r>
    <n v="239"/>
    <d v="2024-07-06T00:00:00"/>
    <d v="2024-07-11T00:00:00"/>
    <n v="5"/>
    <x v="2"/>
    <x v="0"/>
    <s v="No"/>
    <n v="0"/>
  </r>
  <r>
    <n v="240"/>
    <d v="2024-07-17T00:00:00"/>
    <d v="2024-07-21T00:00:00"/>
    <n v="4"/>
    <x v="0"/>
    <x v="1"/>
    <s v="No"/>
    <n v="0"/>
  </r>
  <r>
    <n v="241"/>
    <d v="2024-07-15T00:00:00"/>
    <d v="2024-07-18T00:00:00"/>
    <n v="3"/>
    <x v="0"/>
    <x v="2"/>
    <s v="Yes"/>
    <n v="1"/>
  </r>
  <r>
    <n v="242"/>
    <d v="2024-07-11T00:00:00"/>
    <d v="2024-07-16T00:00:00"/>
    <n v="5"/>
    <x v="1"/>
    <x v="0"/>
    <s v="No"/>
    <n v="0"/>
  </r>
  <r>
    <n v="243"/>
    <d v="2024-07-11T00:00:00"/>
    <d v="2024-07-16T00:00:00"/>
    <n v="5"/>
    <x v="2"/>
    <x v="2"/>
    <s v="No"/>
    <n v="0"/>
  </r>
  <r>
    <n v="244"/>
    <d v="2024-07-25T00:00:00"/>
    <d v="2024-07-26T00:00:00"/>
    <n v="1"/>
    <x v="1"/>
    <x v="0"/>
    <s v="Yes"/>
    <n v="1"/>
  </r>
  <r>
    <n v="245"/>
    <d v="2024-07-27T00:00:00"/>
    <d v="2024-07-28T00:00:00"/>
    <n v="1"/>
    <x v="2"/>
    <x v="1"/>
    <s v="Yes"/>
    <n v="1"/>
  </r>
  <r>
    <n v="246"/>
    <d v="2024-07-01T00:00:00"/>
    <d v="2024-07-05T00:00:00"/>
    <n v="4"/>
    <x v="0"/>
    <x v="0"/>
    <s v="No"/>
    <n v="0"/>
  </r>
  <r>
    <n v="247"/>
    <d v="2024-07-19T00:00:00"/>
    <d v="2024-07-21T00:00:00"/>
    <n v="2"/>
    <x v="0"/>
    <x v="0"/>
    <s v="Yes"/>
    <n v="1"/>
  </r>
  <r>
    <n v="248"/>
    <d v="2024-07-25T00:00:00"/>
    <d v="2024-07-30T00:00:00"/>
    <n v="5"/>
    <x v="1"/>
    <x v="0"/>
    <s v="No"/>
    <n v="0"/>
  </r>
  <r>
    <n v="249"/>
    <d v="2024-07-26T00:00:00"/>
    <d v="2024-07-27T00:00:00"/>
    <n v="1"/>
    <x v="1"/>
    <x v="2"/>
    <s v="Yes"/>
    <n v="1"/>
  </r>
  <r>
    <n v="250"/>
    <d v="2024-07-28T00:00:00"/>
    <d v="2024-07-29T00:00:00"/>
    <n v="1"/>
    <x v="2"/>
    <x v="1"/>
    <s v="Yes"/>
    <n v="1"/>
  </r>
  <r>
    <n v="251"/>
    <d v="2024-07-07T00:00:00"/>
    <d v="2024-07-09T00:00:00"/>
    <n v="2"/>
    <x v="1"/>
    <x v="0"/>
    <s v="Yes"/>
    <n v="1"/>
  </r>
  <r>
    <n v="252"/>
    <d v="2024-07-18T00:00:00"/>
    <d v="2024-07-19T00:00:00"/>
    <n v="1"/>
    <x v="2"/>
    <x v="1"/>
    <s v="Yes"/>
    <n v="1"/>
  </r>
  <r>
    <n v="253"/>
    <d v="2024-07-05T00:00:00"/>
    <d v="2024-07-10T00:00:00"/>
    <n v="5"/>
    <x v="2"/>
    <x v="2"/>
    <s v="No"/>
    <n v="0"/>
  </r>
  <r>
    <n v="254"/>
    <d v="2024-07-27T00:00:00"/>
    <d v="2024-07-30T00:00:00"/>
    <n v="3"/>
    <x v="0"/>
    <x v="1"/>
    <s v="Yes"/>
    <n v="1"/>
  </r>
  <r>
    <n v="255"/>
    <d v="2024-07-05T00:00:00"/>
    <d v="2024-07-10T00:00:00"/>
    <n v="5"/>
    <x v="2"/>
    <x v="2"/>
    <s v="No"/>
    <n v="0"/>
  </r>
  <r>
    <n v="256"/>
    <d v="2024-07-06T00:00:00"/>
    <d v="2024-07-10T00:00:00"/>
    <n v="4"/>
    <x v="0"/>
    <x v="1"/>
    <s v="No"/>
    <n v="0"/>
  </r>
  <r>
    <n v="257"/>
    <d v="2024-07-16T00:00:00"/>
    <d v="2024-07-20T00:00:00"/>
    <n v="4"/>
    <x v="1"/>
    <x v="1"/>
    <s v="No"/>
    <n v="0"/>
  </r>
  <r>
    <n v="258"/>
    <d v="2024-07-01T00:00:00"/>
    <d v="2024-07-05T00:00:00"/>
    <n v="4"/>
    <x v="2"/>
    <x v="1"/>
    <s v="No"/>
    <n v="0"/>
  </r>
  <r>
    <n v="259"/>
    <d v="2024-07-14T00:00:00"/>
    <d v="2024-07-17T00:00:00"/>
    <n v="3"/>
    <x v="0"/>
    <x v="1"/>
    <s v="Yes"/>
    <n v="1"/>
  </r>
  <r>
    <n v="260"/>
    <d v="2024-07-06T00:00:00"/>
    <d v="2024-07-11T00:00:00"/>
    <n v="5"/>
    <x v="1"/>
    <x v="0"/>
    <s v="No"/>
    <n v="0"/>
  </r>
  <r>
    <n v="261"/>
    <d v="2024-07-20T00:00:00"/>
    <d v="2024-07-22T00:00:00"/>
    <n v="2"/>
    <x v="1"/>
    <x v="1"/>
    <s v="Yes"/>
    <n v="1"/>
  </r>
  <r>
    <n v="262"/>
    <d v="2024-07-11T00:00:00"/>
    <d v="2024-07-16T00:00:00"/>
    <n v="5"/>
    <x v="0"/>
    <x v="0"/>
    <s v="No"/>
    <n v="0"/>
  </r>
  <r>
    <n v="263"/>
    <d v="2024-07-30T00:00:00"/>
    <d v="2024-08-04T00:00:00"/>
    <n v="5"/>
    <x v="2"/>
    <x v="2"/>
    <s v="No"/>
    <n v="0"/>
  </r>
  <r>
    <n v="264"/>
    <d v="2024-07-03T00:00:00"/>
    <d v="2024-07-04T00:00:00"/>
    <n v="1"/>
    <x v="2"/>
    <x v="2"/>
    <s v="Yes"/>
    <n v="1"/>
  </r>
  <r>
    <n v="265"/>
    <d v="2024-07-28T00:00:00"/>
    <d v="2024-07-30T00:00:00"/>
    <n v="2"/>
    <x v="0"/>
    <x v="0"/>
    <s v="Yes"/>
    <n v="1"/>
  </r>
  <r>
    <n v="266"/>
    <d v="2024-07-24T00:00:00"/>
    <d v="2024-07-26T00:00:00"/>
    <n v="2"/>
    <x v="1"/>
    <x v="1"/>
    <s v="Yes"/>
    <n v="1"/>
  </r>
  <r>
    <n v="267"/>
    <d v="2024-07-24T00:00:00"/>
    <d v="2024-07-27T00:00:00"/>
    <n v="3"/>
    <x v="0"/>
    <x v="1"/>
    <s v="Yes"/>
    <n v="1"/>
  </r>
  <r>
    <n v="268"/>
    <d v="2024-07-28T00:00:00"/>
    <d v="2024-07-29T00:00:00"/>
    <n v="1"/>
    <x v="1"/>
    <x v="0"/>
    <s v="Yes"/>
    <n v="1"/>
  </r>
  <r>
    <n v="269"/>
    <d v="2024-07-07T00:00:00"/>
    <d v="2024-07-12T00:00:00"/>
    <n v="5"/>
    <x v="1"/>
    <x v="2"/>
    <s v="No"/>
    <n v="0"/>
  </r>
  <r>
    <n v="270"/>
    <d v="2024-07-02T00:00:00"/>
    <d v="2024-07-07T00:00:00"/>
    <n v="5"/>
    <x v="1"/>
    <x v="2"/>
    <s v="No"/>
    <n v="0"/>
  </r>
  <r>
    <n v="271"/>
    <d v="2024-07-12T00:00:00"/>
    <d v="2024-07-13T00:00:00"/>
    <n v="1"/>
    <x v="0"/>
    <x v="2"/>
    <s v="Yes"/>
    <n v="1"/>
  </r>
  <r>
    <n v="272"/>
    <d v="2024-07-15T00:00:00"/>
    <d v="2024-07-18T00:00:00"/>
    <n v="3"/>
    <x v="0"/>
    <x v="2"/>
    <s v="Yes"/>
    <n v="1"/>
  </r>
  <r>
    <n v="273"/>
    <d v="2024-07-25T00:00:00"/>
    <d v="2024-07-30T00:00:00"/>
    <n v="5"/>
    <x v="0"/>
    <x v="1"/>
    <s v="No"/>
    <n v="0"/>
  </r>
  <r>
    <n v="274"/>
    <d v="2024-07-18T00:00:00"/>
    <d v="2024-07-20T00:00:00"/>
    <n v="2"/>
    <x v="0"/>
    <x v="1"/>
    <s v="Yes"/>
    <n v="1"/>
  </r>
  <r>
    <n v="275"/>
    <d v="2024-07-02T00:00:00"/>
    <d v="2024-07-04T00:00:00"/>
    <n v="2"/>
    <x v="0"/>
    <x v="1"/>
    <s v="Yes"/>
    <n v="1"/>
  </r>
  <r>
    <n v="276"/>
    <d v="2024-07-01T00:00:00"/>
    <d v="2024-07-05T00:00:00"/>
    <n v="4"/>
    <x v="2"/>
    <x v="1"/>
    <s v="No"/>
    <n v="0"/>
  </r>
  <r>
    <n v="277"/>
    <d v="2024-07-05T00:00:00"/>
    <d v="2024-07-10T00:00:00"/>
    <n v="5"/>
    <x v="0"/>
    <x v="1"/>
    <s v="No"/>
    <n v="0"/>
  </r>
  <r>
    <n v="278"/>
    <d v="2024-07-19T00:00:00"/>
    <d v="2024-07-21T00:00:00"/>
    <n v="2"/>
    <x v="1"/>
    <x v="1"/>
    <s v="Yes"/>
    <n v="1"/>
  </r>
  <r>
    <n v="279"/>
    <d v="2024-07-03T00:00:00"/>
    <d v="2024-07-07T00:00:00"/>
    <n v="4"/>
    <x v="2"/>
    <x v="2"/>
    <s v="No"/>
    <n v="0"/>
  </r>
  <r>
    <n v="280"/>
    <d v="2024-07-13T00:00:00"/>
    <d v="2024-07-15T00:00:00"/>
    <n v="2"/>
    <x v="2"/>
    <x v="2"/>
    <s v="Yes"/>
    <n v="1"/>
  </r>
  <r>
    <n v="281"/>
    <d v="2024-07-20T00:00:00"/>
    <d v="2024-07-23T00:00:00"/>
    <n v="3"/>
    <x v="1"/>
    <x v="1"/>
    <s v="Yes"/>
    <n v="1"/>
  </r>
  <r>
    <n v="282"/>
    <d v="2024-07-21T00:00:00"/>
    <d v="2024-07-26T00:00:00"/>
    <n v="5"/>
    <x v="2"/>
    <x v="2"/>
    <s v="No"/>
    <n v="0"/>
  </r>
  <r>
    <n v="283"/>
    <d v="2024-07-01T00:00:00"/>
    <d v="2024-07-04T00:00:00"/>
    <n v="3"/>
    <x v="1"/>
    <x v="0"/>
    <s v="Yes"/>
    <n v="1"/>
  </r>
  <r>
    <n v="284"/>
    <d v="2024-07-07T00:00:00"/>
    <d v="2024-07-08T00:00:00"/>
    <n v="1"/>
    <x v="2"/>
    <x v="2"/>
    <s v="Yes"/>
    <n v="1"/>
  </r>
  <r>
    <n v="285"/>
    <d v="2024-07-01T00:00:00"/>
    <d v="2024-07-02T00:00:00"/>
    <n v="1"/>
    <x v="0"/>
    <x v="0"/>
    <s v="Yes"/>
    <n v="1"/>
  </r>
  <r>
    <n v="286"/>
    <d v="2024-07-22T00:00:00"/>
    <d v="2024-07-27T00:00:00"/>
    <n v="5"/>
    <x v="1"/>
    <x v="2"/>
    <s v="No"/>
    <n v="0"/>
  </r>
  <r>
    <n v="287"/>
    <d v="2024-07-15T00:00:00"/>
    <d v="2024-07-20T00:00:00"/>
    <n v="5"/>
    <x v="2"/>
    <x v="2"/>
    <s v="No"/>
    <n v="0"/>
  </r>
  <r>
    <n v="288"/>
    <d v="2024-07-19T00:00:00"/>
    <d v="2024-07-24T00:00:00"/>
    <n v="5"/>
    <x v="1"/>
    <x v="2"/>
    <s v="No"/>
    <n v="0"/>
  </r>
  <r>
    <n v="289"/>
    <d v="2024-07-26T00:00:00"/>
    <d v="2024-07-29T00:00:00"/>
    <n v="3"/>
    <x v="1"/>
    <x v="2"/>
    <s v="Yes"/>
    <n v="1"/>
  </r>
  <r>
    <n v="290"/>
    <d v="2024-07-05T00:00:00"/>
    <d v="2024-07-06T00:00:00"/>
    <n v="1"/>
    <x v="0"/>
    <x v="0"/>
    <s v="Yes"/>
    <n v="1"/>
  </r>
  <r>
    <n v="291"/>
    <d v="2024-07-29T00:00:00"/>
    <d v="2024-07-30T00:00:00"/>
    <n v="1"/>
    <x v="2"/>
    <x v="0"/>
    <s v="Yes"/>
    <n v="1"/>
  </r>
  <r>
    <n v="292"/>
    <d v="2024-07-09T00:00:00"/>
    <d v="2024-07-14T00:00:00"/>
    <n v="5"/>
    <x v="1"/>
    <x v="0"/>
    <s v="No"/>
    <n v="0"/>
  </r>
  <r>
    <n v="293"/>
    <d v="2024-07-28T00:00:00"/>
    <d v="2024-08-02T00:00:00"/>
    <n v="5"/>
    <x v="0"/>
    <x v="1"/>
    <s v="No"/>
    <n v="0"/>
  </r>
  <r>
    <n v="294"/>
    <d v="2024-07-22T00:00:00"/>
    <d v="2024-07-27T00:00:00"/>
    <n v="5"/>
    <x v="1"/>
    <x v="0"/>
    <s v="No"/>
    <n v="0"/>
  </r>
  <r>
    <n v="295"/>
    <d v="2024-07-06T00:00:00"/>
    <d v="2024-07-08T00:00:00"/>
    <n v="2"/>
    <x v="0"/>
    <x v="0"/>
    <s v="Yes"/>
    <n v="1"/>
  </r>
  <r>
    <n v="296"/>
    <d v="2024-07-03T00:00:00"/>
    <d v="2024-07-05T00:00:00"/>
    <n v="2"/>
    <x v="0"/>
    <x v="1"/>
    <s v="Yes"/>
    <n v="1"/>
  </r>
  <r>
    <n v="297"/>
    <d v="2024-07-20T00:00:00"/>
    <d v="2024-07-23T00:00:00"/>
    <n v="3"/>
    <x v="0"/>
    <x v="1"/>
    <s v="Yes"/>
    <n v="1"/>
  </r>
  <r>
    <n v="298"/>
    <d v="2024-07-11T00:00:00"/>
    <d v="2024-07-13T00:00:00"/>
    <n v="2"/>
    <x v="0"/>
    <x v="2"/>
    <s v="Yes"/>
    <n v="1"/>
  </r>
  <r>
    <n v="299"/>
    <d v="2024-07-24T00:00:00"/>
    <d v="2024-07-29T00:00:00"/>
    <n v="5"/>
    <x v="1"/>
    <x v="1"/>
    <s v="No"/>
    <n v="0"/>
  </r>
  <r>
    <n v="300"/>
    <d v="2024-07-05T00:00:00"/>
    <d v="2024-07-08T00:00:00"/>
    <n v="3"/>
    <x v="0"/>
    <x v="0"/>
    <s v="Yes"/>
    <n v="1"/>
  </r>
  <r>
    <n v="301"/>
    <d v="2024-07-19T00:00:00"/>
    <d v="2024-07-21T00:00:00"/>
    <n v="2"/>
    <x v="2"/>
    <x v="2"/>
    <s v="Yes"/>
    <n v="1"/>
  </r>
  <r>
    <n v="302"/>
    <d v="2024-07-13T00:00:00"/>
    <d v="2024-07-18T00:00:00"/>
    <n v="5"/>
    <x v="1"/>
    <x v="0"/>
    <s v="No"/>
    <n v="0"/>
  </r>
  <r>
    <n v="303"/>
    <d v="2024-07-17T00:00:00"/>
    <d v="2024-07-21T00:00:00"/>
    <n v="4"/>
    <x v="2"/>
    <x v="0"/>
    <s v="No"/>
    <n v="0"/>
  </r>
  <r>
    <n v="304"/>
    <d v="2024-07-18T00:00:00"/>
    <d v="2024-07-22T00:00:00"/>
    <n v="4"/>
    <x v="1"/>
    <x v="0"/>
    <s v="No"/>
    <n v="0"/>
  </r>
  <r>
    <n v="305"/>
    <d v="2024-07-05T00:00:00"/>
    <d v="2024-07-06T00:00:00"/>
    <n v="1"/>
    <x v="1"/>
    <x v="2"/>
    <s v="Yes"/>
    <n v="1"/>
  </r>
  <r>
    <n v="306"/>
    <d v="2024-07-08T00:00:00"/>
    <d v="2024-07-09T00:00:00"/>
    <n v="1"/>
    <x v="0"/>
    <x v="0"/>
    <s v="Yes"/>
    <n v="1"/>
  </r>
  <r>
    <n v="307"/>
    <d v="2024-07-12T00:00:00"/>
    <d v="2024-07-14T00:00:00"/>
    <n v="2"/>
    <x v="1"/>
    <x v="1"/>
    <s v="Yes"/>
    <n v="1"/>
  </r>
  <r>
    <n v="308"/>
    <d v="2024-07-07T00:00:00"/>
    <d v="2024-07-12T00:00:00"/>
    <n v="5"/>
    <x v="2"/>
    <x v="0"/>
    <s v="No"/>
    <n v="0"/>
  </r>
  <r>
    <n v="309"/>
    <d v="2024-07-28T00:00:00"/>
    <d v="2024-07-31T00:00:00"/>
    <n v="3"/>
    <x v="1"/>
    <x v="1"/>
    <s v="Yes"/>
    <n v="1"/>
  </r>
  <r>
    <n v="310"/>
    <d v="2024-07-10T00:00:00"/>
    <d v="2024-07-15T00:00:00"/>
    <n v="5"/>
    <x v="1"/>
    <x v="1"/>
    <s v="No"/>
    <n v="0"/>
  </r>
  <r>
    <n v="311"/>
    <d v="2024-07-02T00:00:00"/>
    <d v="2024-07-07T00:00:00"/>
    <n v="5"/>
    <x v="1"/>
    <x v="2"/>
    <s v="No"/>
    <n v="0"/>
  </r>
  <r>
    <n v="312"/>
    <d v="2024-07-01T00:00:00"/>
    <d v="2024-07-03T00:00:00"/>
    <n v="2"/>
    <x v="2"/>
    <x v="2"/>
    <s v="Yes"/>
    <n v="1"/>
  </r>
  <r>
    <n v="313"/>
    <d v="2024-07-13T00:00:00"/>
    <d v="2024-07-15T00:00:00"/>
    <n v="2"/>
    <x v="1"/>
    <x v="1"/>
    <s v="Yes"/>
    <n v="1"/>
  </r>
  <r>
    <n v="314"/>
    <d v="2024-07-16T00:00:00"/>
    <d v="2024-07-17T00:00:00"/>
    <n v="1"/>
    <x v="0"/>
    <x v="2"/>
    <s v="Yes"/>
    <n v="1"/>
  </r>
  <r>
    <n v="315"/>
    <d v="2024-07-14T00:00:00"/>
    <d v="2024-07-18T00:00:00"/>
    <n v="4"/>
    <x v="1"/>
    <x v="2"/>
    <s v="No"/>
    <n v="0"/>
  </r>
  <r>
    <n v="316"/>
    <d v="2024-07-05T00:00:00"/>
    <d v="2024-07-08T00:00:00"/>
    <n v="3"/>
    <x v="0"/>
    <x v="1"/>
    <s v="Yes"/>
    <n v="1"/>
  </r>
  <r>
    <n v="317"/>
    <d v="2024-07-22T00:00:00"/>
    <d v="2024-07-24T00:00:00"/>
    <n v="2"/>
    <x v="2"/>
    <x v="2"/>
    <s v="Yes"/>
    <n v="1"/>
  </r>
  <r>
    <n v="318"/>
    <d v="2024-07-18T00:00:00"/>
    <d v="2024-07-20T00:00:00"/>
    <n v="2"/>
    <x v="2"/>
    <x v="1"/>
    <s v="Yes"/>
    <n v="1"/>
  </r>
  <r>
    <n v="319"/>
    <d v="2024-07-14T00:00:00"/>
    <d v="2024-07-18T00:00:00"/>
    <n v="4"/>
    <x v="0"/>
    <x v="0"/>
    <s v="No"/>
    <n v="0"/>
  </r>
  <r>
    <n v="320"/>
    <d v="2024-07-07T00:00:00"/>
    <d v="2024-07-12T00:00:00"/>
    <n v="5"/>
    <x v="1"/>
    <x v="0"/>
    <s v="No"/>
    <n v="0"/>
  </r>
  <r>
    <n v="321"/>
    <d v="2024-07-20T00:00:00"/>
    <d v="2024-07-22T00:00:00"/>
    <n v="2"/>
    <x v="2"/>
    <x v="2"/>
    <s v="Yes"/>
    <n v="1"/>
  </r>
  <r>
    <n v="322"/>
    <d v="2024-07-16T00:00:00"/>
    <d v="2024-07-17T00:00:00"/>
    <n v="1"/>
    <x v="1"/>
    <x v="0"/>
    <s v="Yes"/>
    <n v="1"/>
  </r>
  <r>
    <n v="323"/>
    <d v="2024-07-17T00:00:00"/>
    <d v="2024-07-21T00:00:00"/>
    <n v="4"/>
    <x v="1"/>
    <x v="0"/>
    <s v="No"/>
    <n v="0"/>
  </r>
  <r>
    <n v="324"/>
    <d v="2024-07-28T00:00:00"/>
    <d v="2024-07-30T00:00:00"/>
    <n v="2"/>
    <x v="2"/>
    <x v="2"/>
    <s v="Yes"/>
    <n v="1"/>
  </r>
  <r>
    <n v="325"/>
    <d v="2024-07-02T00:00:00"/>
    <d v="2024-07-05T00:00:00"/>
    <n v="3"/>
    <x v="1"/>
    <x v="0"/>
    <s v="Yes"/>
    <n v="1"/>
  </r>
  <r>
    <n v="326"/>
    <d v="2024-07-17T00:00:00"/>
    <d v="2024-07-21T00:00:00"/>
    <n v="4"/>
    <x v="1"/>
    <x v="2"/>
    <s v="No"/>
    <n v="0"/>
  </r>
  <r>
    <n v="327"/>
    <d v="2024-07-07T00:00:00"/>
    <d v="2024-07-10T00:00:00"/>
    <n v="3"/>
    <x v="0"/>
    <x v="0"/>
    <s v="Yes"/>
    <n v="1"/>
  </r>
  <r>
    <n v="328"/>
    <d v="2024-07-23T00:00:00"/>
    <d v="2024-07-25T00:00:00"/>
    <n v="2"/>
    <x v="2"/>
    <x v="0"/>
    <s v="Yes"/>
    <n v="1"/>
  </r>
  <r>
    <n v="329"/>
    <d v="2024-07-16T00:00:00"/>
    <d v="2024-07-19T00:00:00"/>
    <n v="3"/>
    <x v="0"/>
    <x v="1"/>
    <s v="Yes"/>
    <n v="1"/>
  </r>
  <r>
    <n v="330"/>
    <d v="2024-07-03T00:00:00"/>
    <d v="2024-07-08T00:00:00"/>
    <n v="5"/>
    <x v="2"/>
    <x v="0"/>
    <s v="No"/>
    <n v="0"/>
  </r>
  <r>
    <n v="331"/>
    <d v="2024-07-25T00:00:00"/>
    <d v="2024-07-29T00:00:00"/>
    <n v="4"/>
    <x v="2"/>
    <x v="0"/>
    <s v="No"/>
    <n v="0"/>
  </r>
  <r>
    <n v="332"/>
    <d v="2024-07-12T00:00:00"/>
    <d v="2024-07-15T00:00:00"/>
    <n v="3"/>
    <x v="2"/>
    <x v="1"/>
    <s v="Yes"/>
    <n v="1"/>
  </r>
  <r>
    <n v="333"/>
    <d v="2024-07-05T00:00:00"/>
    <d v="2024-07-08T00:00:00"/>
    <n v="3"/>
    <x v="2"/>
    <x v="2"/>
    <s v="Yes"/>
    <n v="1"/>
  </r>
  <r>
    <n v="334"/>
    <d v="2024-07-21T00:00:00"/>
    <d v="2024-07-23T00:00:00"/>
    <n v="2"/>
    <x v="1"/>
    <x v="1"/>
    <s v="Yes"/>
    <n v="1"/>
  </r>
  <r>
    <n v="335"/>
    <d v="2024-07-21T00:00:00"/>
    <d v="2024-07-23T00:00:00"/>
    <n v="2"/>
    <x v="1"/>
    <x v="2"/>
    <s v="Yes"/>
    <n v="1"/>
  </r>
  <r>
    <n v="336"/>
    <d v="2024-07-21T00:00:00"/>
    <d v="2024-07-26T00:00:00"/>
    <n v="5"/>
    <x v="2"/>
    <x v="0"/>
    <s v="No"/>
    <n v="0"/>
  </r>
  <r>
    <n v="337"/>
    <d v="2024-07-09T00:00:00"/>
    <d v="2024-07-11T00:00:00"/>
    <n v="2"/>
    <x v="2"/>
    <x v="2"/>
    <s v="Yes"/>
    <n v="1"/>
  </r>
  <r>
    <n v="338"/>
    <d v="2024-07-02T00:00:00"/>
    <d v="2024-07-03T00:00:00"/>
    <n v="1"/>
    <x v="1"/>
    <x v="0"/>
    <s v="Yes"/>
    <n v="1"/>
  </r>
  <r>
    <n v="339"/>
    <d v="2024-07-22T00:00:00"/>
    <d v="2024-07-23T00:00:00"/>
    <n v="1"/>
    <x v="2"/>
    <x v="1"/>
    <s v="Yes"/>
    <n v="1"/>
  </r>
  <r>
    <n v="340"/>
    <d v="2024-07-18T00:00:00"/>
    <d v="2024-07-20T00:00:00"/>
    <n v="2"/>
    <x v="1"/>
    <x v="2"/>
    <s v="Yes"/>
    <n v="1"/>
  </r>
  <r>
    <n v="341"/>
    <d v="2024-07-19T00:00:00"/>
    <d v="2024-07-24T00:00:00"/>
    <n v="5"/>
    <x v="1"/>
    <x v="0"/>
    <s v="No"/>
    <n v="0"/>
  </r>
  <r>
    <n v="342"/>
    <d v="2024-07-12T00:00:00"/>
    <d v="2024-07-17T00:00:00"/>
    <n v="5"/>
    <x v="2"/>
    <x v="1"/>
    <s v="No"/>
    <n v="0"/>
  </r>
  <r>
    <n v="343"/>
    <d v="2024-07-21T00:00:00"/>
    <d v="2024-07-22T00:00:00"/>
    <n v="1"/>
    <x v="0"/>
    <x v="0"/>
    <s v="Yes"/>
    <n v="1"/>
  </r>
  <r>
    <n v="344"/>
    <d v="2024-07-19T00:00:00"/>
    <d v="2024-07-24T00:00:00"/>
    <n v="5"/>
    <x v="2"/>
    <x v="2"/>
    <s v="No"/>
    <n v="0"/>
  </r>
  <r>
    <n v="345"/>
    <d v="2024-07-19T00:00:00"/>
    <d v="2024-07-20T00:00:00"/>
    <n v="1"/>
    <x v="2"/>
    <x v="1"/>
    <s v="Yes"/>
    <n v="1"/>
  </r>
  <r>
    <n v="346"/>
    <d v="2024-07-08T00:00:00"/>
    <d v="2024-07-09T00:00:00"/>
    <n v="1"/>
    <x v="2"/>
    <x v="0"/>
    <s v="Yes"/>
    <n v="1"/>
  </r>
  <r>
    <n v="347"/>
    <d v="2024-07-25T00:00:00"/>
    <d v="2024-07-29T00:00:00"/>
    <n v="4"/>
    <x v="1"/>
    <x v="0"/>
    <s v="No"/>
    <n v="0"/>
  </r>
  <r>
    <n v="348"/>
    <d v="2024-07-07T00:00:00"/>
    <d v="2024-07-10T00:00:00"/>
    <n v="3"/>
    <x v="2"/>
    <x v="0"/>
    <s v="Yes"/>
    <n v="1"/>
  </r>
  <r>
    <n v="349"/>
    <d v="2024-07-11T00:00:00"/>
    <d v="2024-07-15T00:00:00"/>
    <n v="4"/>
    <x v="0"/>
    <x v="2"/>
    <s v="No"/>
    <n v="0"/>
  </r>
  <r>
    <n v="350"/>
    <d v="2024-07-14T00:00:00"/>
    <d v="2024-07-16T00:00:00"/>
    <n v="2"/>
    <x v="2"/>
    <x v="2"/>
    <s v="Yes"/>
    <n v="1"/>
  </r>
  <r>
    <n v="351"/>
    <d v="2024-07-18T00:00:00"/>
    <d v="2024-07-21T00:00:00"/>
    <n v="3"/>
    <x v="2"/>
    <x v="1"/>
    <s v="Yes"/>
    <n v="1"/>
  </r>
  <r>
    <n v="352"/>
    <d v="2024-07-11T00:00:00"/>
    <d v="2024-07-12T00:00:00"/>
    <n v="1"/>
    <x v="0"/>
    <x v="0"/>
    <s v="Yes"/>
    <n v="1"/>
  </r>
  <r>
    <n v="353"/>
    <d v="2024-07-16T00:00:00"/>
    <d v="2024-07-21T00:00:00"/>
    <n v="5"/>
    <x v="1"/>
    <x v="2"/>
    <s v="No"/>
    <n v="0"/>
  </r>
  <r>
    <n v="354"/>
    <d v="2024-07-30T00:00:00"/>
    <d v="2024-08-03T00:00:00"/>
    <n v="4"/>
    <x v="1"/>
    <x v="1"/>
    <s v="No"/>
    <n v="0"/>
  </r>
  <r>
    <n v="355"/>
    <d v="2024-07-12T00:00:00"/>
    <d v="2024-07-14T00:00:00"/>
    <n v="2"/>
    <x v="2"/>
    <x v="2"/>
    <s v="Yes"/>
    <n v="1"/>
  </r>
  <r>
    <n v="356"/>
    <d v="2024-07-20T00:00:00"/>
    <d v="2024-07-25T00:00:00"/>
    <n v="5"/>
    <x v="1"/>
    <x v="0"/>
    <s v="No"/>
    <n v="0"/>
  </r>
  <r>
    <n v="357"/>
    <d v="2024-07-30T00:00:00"/>
    <d v="2024-07-31T00:00:00"/>
    <n v="1"/>
    <x v="0"/>
    <x v="1"/>
    <s v="Yes"/>
    <n v="1"/>
  </r>
  <r>
    <n v="358"/>
    <d v="2024-07-26T00:00:00"/>
    <d v="2024-07-27T00:00:00"/>
    <n v="1"/>
    <x v="1"/>
    <x v="1"/>
    <s v="Yes"/>
    <n v="1"/>
  </r>
  <r>
    <n v="359"/>
    <d v="2024-07-25T00:00:00"/>
    <d v="2024-07-30T00:00:00"/>
    <n v="5"/>
    <x v="2"/>
    <x v="0"/>
    <s v="No"/>
    <n v="0"/>
  </r>
  <r>
    <n v="360"/>
    <d v="2024-07-16T00:00:00"/>
    <d v="2024-07-19T00:00:00"/>
    <n v="3"/>
    <x v="0"/>
    <x v="2"/>
    <s v="Yes"/>
    <n v="1"/>
  </r>
  <r>
    <n v="361"/>
    <d v="2024-07-21T00:00:00"/>
    <d v="2024-07-23T00:00:00"/>
    <n v="2"/>
    <x v="1"/>
    <x v="0"/>
    <s v="Yes"/>
    <n v="1"/>
  </r>
  <r>
    <n v="362"/>
    <d v="2024-07-06T00:00:00"/>
    <d v="2024-07-09T00:00:00"/>
    <n v="3"/>
    <x v="0"/>
    <x v="1"/>
    <s v="Yes"/>
    <n v="1"/>
  </r>
  <r>
    <n v="363"/>
    <d v="2024-07-12T00:00:00"/>
    <d v="2024-07-14T00:00:00"/>
    <n v="2"/>
    <x v="2"/>
    <x v="1"/>
    <s v="Yes"/>
    <n v="1"/>
  </r>
  <r>
    <n v="364"/>
    <d v="2024-07-29T00:00:00"/>
    <d v="2024-07-30T00:00:00"/>
    <n v="1"/>
    <x v="0"/>
    <x v="0"/>
    <s v="Yes"/>
    <n v="1"/>
  </r>
  <r>
    <n v="365"/>
    <d v="2024-07-07T00:00:00"/>
    <d v="2024-07-10T00:00:00"/>
    <n v="3"/>
    <x v="0"/>
    <x v="1"/>
    <s v="Yes"/>
    <n v="1"/>
  </r>
  <r>
    <n v="366"/>
    <d v="2024-07-10T00:00:00"/>
    <d v="2024-07-12T00:00:00"/>
    <n v="2"/>
    <x v="2"/>
    <x v="1"/>
    <s v="Yes"/>
    <n v="1"/>
  </r>
  <r>
    <n v="367"/>
    <d v="2024-07-10T00:00:00"/>
    <d v="2024-07-13T00:00:00"/>
    <n v="3"/>
    <x v="1"/>
    <x v="0"/>
    <s v="Yes"/>
    <n v="1"/>
  </r>
  <r>
    <n v="368"/>
    <d v="2024-07-10T00:00:00"/>
    <d v="2024-07-15T00:00:00"/>
    <n v="5"/>
    <x v="2"/>
    <x v="0"/>
    <s v="No"/>
    <n v="0"/>
  </r>
  <r>
    <n v="369"/>
    <d v="2024-07-01T00:00:00"/>
    <d v="2024-07-06T00:00:00"/>
    <n v="5"/>
    <x v="2"/>
    <x v="0"/>
    <s v="No"/>
    <n v="0"/>
  </r>
  <r>
    <n v="370"/>
    <d v="2024-07-12T00:00:00"/>
    <d v="2024-07-14T00:00:00"/>
    <n v="2"/>
    <x v="2"/>
    <x v="2"/>
    <s v="Yes"/>
    <n v="1"/>
  </r>
  <r>
    <n v="371"/>
    <d v="2024-07-16T00:00:00"/>
    <d v="2024-07-17T00:00:00"/>
    <n v="1"/>
    <x v="2"/>
    <x v="0"/>
    <s v="Yes"/>
    <n v="1"/>
  </r>
  <r>
    <n v="372"/>
    <d v="2024-07-19T00:00:00"/>
    <d v="2024-07-21T00:00:00"/>
    <n v="2"/>
    <x v="1"/>
    <x v="2"/>
    <s v="Yes"/>
    <n v="1"/>
  </r>
  <r>
    <n v="373"/>
    <d v="2024-07-23T00:00:00"/>
    <d v="2024-07-24T00:00:00"/>
    <n v="1"/>
    <x v="1"/>
    <x v="2"/>
    <s v="Yes"/>
    <n v="1"/>
  </r>
  <r>
    <n v="374"/>
    <d v="2024-07-31T00:00:00"/>
    <d v="2024-08-01T00:00:00"/>
    <n v="1"/>
    <x v="1"/>
    <x v="0"/>
    <s v="Yes"/>
    <n v="1"/>
  </r>
  <r>
    <n v="375"/>
    <d v="2024-07-23T00:00:00"/>
    <d v="2024-07-26T00:00:00"/>
    <n v="3"/>
    <x v="2"/>
    <x v="1"/>
    <s v="Yes"/>
    <n v="1"/>
  </r>
  <r>
    <n v="376"/>
    <d v="2024-07-10T00:00:00"/>
    <d v="2024-07-11T00:00:00"/>
    <n v="1"/>
    <x v="0"/>
    <x v="0"/>
    <s v="Yes"/>
    <n v="1"/>
  </r>
  <r>
    <n v="377"/>
    <d v="2024-07-12T00:00:00"/>
    <d v="2024-07-17T00:00:00"/>
    <n v="5"/>
    <x v="2"/>
    <x v="2"/>
    <s v="No"/>
    <n v="0"/>
  </r>
  <r>
    <n v="378"/>
    <d v="2024-07-31T00:00:00"/>
    <d v="2024-08-01T00:00:00"/>
    <n v="1"/>
    <x v="2"/>
    <x v="2"/>
    <s v="Yes"/>
    <n v="1"/>
  </r>
  <r>
    <n v="379"/>
    <d v="2024-07-05T00:00:00"/>
    <d v="2024-07-08T00:00:00"/>
    <n v="3"/>
    <x v="1"/>
    <x v="1"/>
    <s v="Yes"/>
    <n v="1"/>
  </r>
  <r>
    <n v="380"/>
    <d v="2024-07-14T00:00:00"/>
    <d v="2024-07-15T00:00:00"/>
    <n v="1"/>
    <x v="0"/>
    <x v="0"/>
    <s v="Yes"/>
    <n v="1"/>
  </r>
  <r>
    <n v="381"/>
    <d v="2024-07-22T00:00:00"/>
    <d v="2024-07-27T00:00:00"/>
    <n v="5"/>
    <x v="1"/>
    <x v="0"/>
    <s v="No"/>
    <n v="0"/>
  </r>
  <r>
    <n v="382"/>
    <d v="2024-07-28T00:00:00"/>
    <d v="2024-07-30T00:00:00"/>
    <n v="2"/>
    <x v="1"/>
    <x v="0"/>
    <s v="Yes"/>
    <n v="1"/>
  </r>
  <r>
    <n v="383"/>
    <d v="2024-07-20T00:00:00"/>
    <d v="2024-07-23T00:00:00"/>
    <n v="3"/>
    <x v="0"/>
    <x v="0"/>
    <s v="Yes"/>
    <n v="1"/>
  </r>
  <r>
    <n v="384"/>
    <d v="2024-07-09T00:00:00"/>
    <d v="2024-07-13T00:00:00"/>
    <n v="4"/>
    <x v="2"/>
    <x v="1"/>
    <s v="No"/>
    <n v="0"/>
  </r>
  <r>
    <n v="385"/>
    <d v="2024-07-09T00:00:00"/>
    <d v="2024-07-13T00:00:00"/>
    <n v="4"/>
    <x v="1"/>
    <x v="1"/>
    <s v="No"/>
    <n v="0"/>
  </r>
  <r>
    <n v="386"/>
    <d v="2024-07-31T00:00:00"/>
    <d v="2024-08-05T00:00:00"/>
    <n v="5"/>
    <x v="1"/>
    <x v="1"/>
    <s v="No"/>
    <n v="0"/>
  </r>
  <r>
    <n v="387"/>
    <d v="2024-07-09T00:00:00"/>
    <d v="2024-07-14T00:00:00"/>
    <n v="5"/>
    <x v="1"/>
    <x v="1"/>
    <s v="No"/>
    <n v="0"/>
  </r>
  <r>
    <n v="388"/>
    <d v="2024-07-12T00:00:00"/>
    <d v="2024-07-14T00:00:00"/>
    <n v="2"/>
    <x v="2"/>
    <x v="1"/>
    <s v="Yes"/>
    <n v="1"/>
  </r>
  <r>
    <n v="389"/>
    <d v="2024-07-28T00:00:00"/>
    <d v="2024-07-31T00:00:00"/>
    <n v="3"/>
    <x v="0"/>
    <x v="2"/>
    <s v="Yes"/>
    <n v="1"/>
  </r>
  <r>
    <n v="390"/>
    <d v="2024-07-30T00:00:00"/>
    <d v="2024-07-31T00:00:00"/>
    <n v="1"/>
    <x v="0"/>
    <x v="1"/>
    <s v="Yes"/>
    <n v="1"/>
  </r>
  <r>
    <n v="391"/>
    <d v="2024-07-25T00:00:00"/>
    <d v="2024-07-29T00:00:00"/>
    <n v="4"/>
    <x v="0"/>
    <x v="2"/>
    <s v="No"/>
    <n v="0"/>
  </r>
  <r>
    <n v="392"/>
    <d v="2024-07-27T00:00:00"/>
    <d v="2024-07-28T00:00:00"/>
    <n v="1"/>
    <x v="2"/>
    <x v="1"/>
    <s v="Yes"/>
    <n v="1"/>
  </r>
  <r>
    <n v="393"/>
    <d v="2024-07-11T00:00:00"/>
    <d v="2024-07-12T00:00:00"/>
    <n v="1"/>
    <x v="1"/>
    <x v="2"/>
    <s v="Yes"/>
    <n v="1"/>
  </r>
  <r>
    <n v="394"/>
    <d v="2024-07-05T00:00:00"/>
    <d v="2024-07-09T00:00:00"/>
    <n v="4"/>
    <x v="0"/>
    <x v="2"/>
    <s v="No"/>
    <n v="0"/>
  </r>
  <r>
    <n v="395"/>
    <d v="2024-07-01T00:00:00"/>
    <d v="2024-07-03T00:00:00"/>
    <n v="2"/>
    <x v="2"/>
    <x v="0"/>
    <s v="Yes"/>
    <n v="1"/>
  </r>
  <r>
    <n v="396"/>
    <d v="2024-07-12T00:00:00"/>
    <d v="2024-07-15T00:00:00"/>
    <n v="3"/>
    <x v="2"/>
    <x v="2"/>
    <s v="Yes"/>
    <n v="1"/>
  </r>
  <r>
    <n v="397"/>
    <d v="2024-07-12T00:00:00"/>
    <d v="2024-07-14T00:00:00"/>
    <n v="2"/>
    <x v="1"/>
    <x v="1"/>
    <s v="Yes"/>
    <n v="1"/>
  </r>
  <r>
    <n v="398"/>
    <d v="2024-07-13T00:00:00"/>
    <d v="2024-07-15T00:00:00"/>
    <n v="2"/>
    <x v="1"/>
    <x v="0"/>
    <s v="Yes"/>
    <n v="1"/>
  </r>
  <r>
    <n v="399"/>
    <d v="2024-07-05T00:00:00"/>
    <d v="2024-07-07T00:00:00"/>
    <n v="2"/>
    <x v="1"/>
    <x v="1"/>
    <s v="Yes"/>
    <n v="1"/>
  </r>
  <r>
    <n v="400"/>
    <d v="2024-07-10T00:00:00"/>
    <d v="2024-07-14T00:00:00"/>
    <n v="4"/>
    <x v="0"/>
    <x v="2"/>
    <s v="No"/>
    <n v="0"/>
  </r>
  <r>
    <n v="401"/>
    <d v="2024-07-03T00:00:00"/>
    <d v="2024-07-07T00:00:00"/>
    <n v="4"/>
    <x v="2"/>
    <x v="0"/>
    <s v="No"/>
    <n v="0"/>
  </r>
  <r>
    <n v="402"/>
    <d v="2024-07-04T00:00:00"/>
    <d v="2024-07-09T00:00:00"/>
    <n v="5"/>
    <x v="2"/>
    <x v="1"/>
    <s v="No"/>
    <n v="0"/>
  </r>
  <r>
    <n v="403"/>
    <d v="2024-07-31T00:00:00"/>
    <d v="2024-08-05T00:00:00"/>
    <n v="5"/>
    <x v="0"/>
    <x v="2"/>
    <s v="No"/>
    <n v="0"/>
  </r>
  <r>
    <n v="404"/>
    <d v="2024-07-31T00:00:00"/>
    <d v="2024-08-03T00:00:00"/>
    <n v="3"/>
    <x v="0"/>
    <x v="1"/>
    <s v="Yes"/>
    <n v="1"/>
  </r>
  <r>
    <n v="405"/>
    <d v="2024-07-22T00:00:00"/>
    <d v="2024-07-23T00:00:00"/>
    <n v="1"/>
    <x v="1"/>
    <x v="0"/>
    <s v="Yes"/>
    <n v="1"/>
  </r>
  <r>
    <n v="406"/>
    <d v="2024-07-13T00:00:00"/>
    <d v="2024-07-14T00:00:00"/>
    <n v="1"/>
    <x v="1"/>
    <x v="1"/>
    <s v="Yes"/>
    <n v="1"/>
  </r>
  <r>
    <n v="407"/>
    <d v="2024-07-04T00:00:00"/>
    <d v="2024-07-07T00:00:00"/>
    <n v="3"/>
    <x v="2"/>
    <x v="0"/>
    <s v="Yes"/>
    <n v="1"/>
  </r>
  <r>
    <n v="408"/>
    <d v="2024-07-27T00:00:00"/>
    <d v="2024-08-01T00:00:00"/>
    <n v="5"/>
    <x v="1"/>
    <x v="0"/>
    <s v="No"/>
    <n v="0"/>
  </r>
  <r>
    <n v="409"/>
    <d v="2024-07-01T00:00:00"/>
    <d v="2024-07-02T00:00:00"/>
    <n v="1"/>
    <x v="1"/>
    <x v="0"/>
    <s v="Yes"/>
    <n v="1"/>
  </r>
  <r>
    <n v="410"/>
    <d v="2024-07-29T00:00:00"/>
    <d v="2024-07-31T00:00:00"/>
    <n v="2"/>
    <x v="2"/>
    <x v="2"/>
    <s v="Yes"/>
    <n v="1"/>
  </r>
  <r>
    <n v="411"/>
    <d v="2024-07-26T00:00:00"/>
    <d v="2024-07-29T00:00:00"/>
    <n v="3"/>
    <x v="1"/>
    <x v="1"/>
    <s v="Yes"/>
    <n v="1"/>
  </r>
  <r>
    <n v="412"/>
    <d v="2024-07-21T00:00:00"/>
    <d v="2024-07-26T00:00:00"/>
    <n v="5"/>
    <x v="1"/>
    <x v="0"/>
    <s v="No"/>
    <n v="0"/>
  </r>
  <r>
    <n v="413"/>
    <d v="2024-07-23T00:00:00"/>
    <d v="2024-07-28T00:00:00"/>
    <n v="5"/>
    <x v="2"/>
    <x v="1"/>
    <s v="No"/>
    <n v="0"/>
  </r>
  <r>
    <n v="414"/>
    <d v="2024-07-04T00:00:00"/>
    <d v="2024-07-06T00:00:00"/>
    <n v="2"/>
    <x v="1"/>
    <x v="0"/>
    <s v="Yes"/>
    <n v="1"/>
  </r>
  <r>
    <n v="415"/>
    <d v="2024-07-16T00:00:00"/>
    <d v="2024-07-18T00:00:00"/>
    <n v="2"/>
    <x v="0"/>
    <x v="2"/>
    <s v="Yes"/>
    <n v="1"/>
  </r>
  <r>
    <n v="416"/>
    <d v="2024-07-08T00:00:00"/>
    <d v="2024-07-12T00:00:00"/>
    <n v="4"/>
    <x v="2"/>
    <x v="2"/>
    <s v="No"/>
    <n v="0"/>
  </r>
  <r>
    <n v="417"/>
    <d v="2024-07-05T00:00:00"/>
    <d v="2024-07-08T00:00:00"/>
    <n v="3"/>
    <x v="2"/>
    <x v="2"/>
    <s v="Yes"/>
    <n v="1"/>
  </r>
  <r>
    <n v="418"/>
    <d v="2024-07-10T00:00:00"/>
    <d v="2024-07-11T00:00:00"/>
    <n v="1"/>
    <x v="2"/>
    <x v="1"/>
    <s v="Yes"/>
    <n v="1"/>
  </r>
  <r>
    <n v="419"/>
    <d v="2024-07-04T00:00:00"/>
    <d v="2024-07-05T00:00:00"/>
    <n v="1"/>
    <x v="1"/>
    <x v="0"/>
    <s v="Yes"/>
    <n v="1"/>
  </r>
  <r>
    <n v="420"/>
    <d v="2024-07-10T00:00:00"/>
    <d v="2024-07-14T00:00:00"/>
    <n v="4"/>
    <x v="2"/>
    <x v="1"/>
    <s v="No"/>
    <n v="0"/>
  </r>
  <r>
    <n v="421"/>
    <d v="2024-07-02T00:00:00"/>
    <d v="2024-07-05T00:00:00"/>
    <n v="3"/>
    <x v="1"/>
    <x v="1"/>
    <s v="Yes"/>
    <n v="1"/>
  </r>
  <r>
    <n v="422"/>
    <d v="2024-07-08T00:00:00"/>
    <d v="2024-07-13T00:00:00"/>
    <n v="5"/>
    <x v="2"/>
    <x v="1"/>
    <s v="No"/>
    <n v="0"/>
  </r>
  <r>
    <n v="423"/>
    <d v="2024-07-23T00:00:00"/>
    <d v="2024-07-25T00:00:00"/>
    <n v="2"/>
    <x v="2"/>
    <x v="1"/>
    <s v="Yes"/>
    <n v="1"/>
  </r>
  <r>
    <n v="424"/>
    <d v="2024-07-29T00:00:00"/>
    <d v="2024-08-02T00:00:00"/>
    <n v="4"/>
    <x v="2"/>
    <x v="1"/>
    <s v="No"/>
    <n v="0"/>
  </r>
  <r>
    <n v="425"/>
    <d v="2024-07-06T00:00:00"/>
    <d v="2024-07-09T00:00:00"/>
    <n v="3"/>
    <x v="1"/>
    <x v="0"/>
    <s v="Yes"/>
    <n v="1"/>
  </r>
  <r>
    <n v="426"/>
    <d v="2024-07-05T00:00:00"/>
    <d v="2024-07-07T00:00:00"/>
    <n v="2"/>
    <x v="0"/>
    <x v="1"/>
    <s v="Yes"/>
    <n v="1"/>
  </r>
  <r>
    <n v="427"/>
    <d v="2024-07-15T00:00:00"/>
    <d v="2024-07-16T00:00:00"/>
    <n v="1"/>
    <x v="1"/>
    <x v="1"/>
    <s v="Yes"/>
    <n v="1"/>
  </r>
  <r>
    <n v="428"/>
    <d v="2024-07-15T00:00:00"/>
    <d v="2024-07-17T00:00:00"/>
    <n v="2"/>
    <x v="1"/>
    <x v="0"/>
    <s v="Yes"/>
    <n v="1"/>
  </r>
  <r>
    <n v="429"/>
    <d v="2024-07-13T00:00:00"/>
    <d v="2024-07-14T00:00:00"/>
    <n v="1"/>
    <x v="1"/>
    <x v="0"/>
    <s v="Yes"/>
    <n v="1"/>
  </r>
  <r>
    <n v="430"/>
    <d v="2024-07-01T00:00:00"/>
    <d v="2024-07-06T00:00:00"/>
    <n v="5"/>
    <x v="1"/>
    <x v="1"/>
    <s v="No"/>
    <n v="0"/>
  </r>
  <r>
    <n v="431"/>
    <d v="2024-07-19T00:00:00"/>
    <d v="2024-07-22T00:00:00"/>
    <n v="3"/>
    <x v="2"/>
    <x v="0"/>
    <s v="Yes"/>
    <n v="1"/>
  </r>
  <r>
    <n v="432"/>
    <d v="2024-07-11T00:00:00"/>
    <d v="2024-07-15T00:00:00"/>
    <n v="4"/>
    <x v="2"/>
    <x v="0"/>
    <s v="No"/>
    <n v="0"/>
  </r>
  <r>
    <n v="433"/>
    <d v="2024-07-04T00:00:00"/>
    <d v="2024-07-05T00:00:00"/>
    <n v="1"/>
    <x v="1"/>
    <x v="1"/>
    <s v="Yes"/>
    <n v="1"/>
  </r>
  <r>
    <n v="434"/>
    <d v="2024-07-07T00:00:00"/>
    <d v="2024-07-10T00:00:00"/>
    <n v="3"/>
    <x v="0"/>
    <x v="1"/>
    <s v="Yes"/>
    <n v="1"/>
  </r>
  <r>
    <n v="435"/>
    <d v="2024-07-02T00:00:00"/>
    <d v="2024-07-07T00:00:00"/>
    <n v="5"/>
    <x v="1"/>
    <x v="1"/>
    <s v="No"/>
    <n v="0"/>
  </r>
  <r>
    <n v="436"/>
    <d v="2024-07-26T00:00:00"/>
    <d v="2024-07-30T00:00:00"/>
    <n v="4"/>
    <x v="0"/>
    <x v="1"/>
    <s v="No"/>
    <n v="0"/>
  </r>
  <r>
    <n v="437"/>
    <d v="2024-07-23T00:00:00"/>
    <d v="2024-07-26T00:00:00"/>
    <n v="3"/>
    <x v="2"/>
    <x v="0"/>
    <s v="Yes"/>
    <n v="1"/>
  </r>
  <r>
    <n v="438"/>
    <d v="2024-07-08T00:00:00"/>
    <d v="2024-07-13T00:00:00"/>
    <n v="5"/>
    <x v="1"/>
    <x v="2"/>
    <s v="No"/>
    <n v="0"/>
  </r>
  <r>
    <n v="439"/>
    <d v="2024-07-09T00:00:00"/>
    <d v="2024-07-14T00:00:00"/>
    <n v="5"/>
    <x v="1"/>
    <x v="1"/>
    <s v="No"/>
    <n v="0"/>
  </r>
  <r>
    <n v="440"/>
    <d v="2024-07-17T00:00:00"/>
    <d v="2024-07-20T00:00:00"/>
    <n v="3"/>
    <x v="0"/>
    <x v="0"/>
    <s v="Yes"/>
    <n v="1"/>
  </r>
  <r>
    <n v="441"/>
    <d v="2024-07-16T00:00:00"/>
    <d v="2024-07-21T00:00:00"/>
    <n v="5"/>
    <x v="1"/>
    <x v="1"/>
    <s v="No"/>
    <n v="0"/>
  </r>
  <r>
    <n v="442"/>
    <d v="2024-07-29T00:00:00"/>
    <d v="2024-08-03T00:00:00"/>
    <n v="5"/>
    <x v="1"/>
    <x v="0"/>
    <s v="No"/>
    <n v="0"/>
  </r>
  <r>
    <n v="443"/>
    <d v="2024-07-16T00:00:00"/>
    <d v="2024-07-20T00:00:00"/>
    <n v="4"/>
    <x v="0"/>
    <x v="1"/>
    <s v="No"/>
    <n v="0"/>
  </r>
  <r>
    <n v="444"/>
    <d v="2024-07-27T00:00:00"/>
    <d v="2024-07-28T00:00:00"/>
    <n v="1"/>
    <x v="0"/>
    <x v="1"/>
    <s v="Yes"/>
    <n v="1"/>
  </r>
  <r>
    <n v="445"/>
    <d v="2024-07-03T00:00:00"/>
    <d v="2024-07-05T00:00:00"/>
    <n v="2"/>
    <x v="0"/>
    <x v="0"/>
    <s v="Yes"/>
    <n v="1"/>
  </r>
  <r>
    <n v="446"/>
    <d v="2024-07-10T00:00:00"/>
    <d v="2024-07-13T00:00:00"/>
    <n v="3"/>
    <x v="0"/>
    <x v="2"/>
    <s v="Yes"/>
    <n v="1"/>
  </r>
  <r>
    <n v="447"/>
    <d v="2024-07-30T00:00:00"/>
    <d v="2024-08-04T00:00:00"/>
    <n v="5"/>
    <x v="1"/>
    <x v="0"/>
    <s v="No"/>
    <n v="0"/>
  </r>
  <r>
    <n v="448"/>
    <d v="2024-07-04T00:00:00"/>
    <d v="2024-07-08T00:00:00"/>
    <n v="4"/>
    <x v="1"/>
    <x v="1"/>
    <s v="No"/>
    <n v="0"/>
  </r>
  <r>
    <n v="449"/>
    <d v="2024-07-11T00:00:00"/>
    <d v="2024-07-14T00:00:00"/>
    <n v="3"/>
    <x v="0"/>
    <x v="2"/>
    <s v="Yes"/>
    <n v="1"/>
  </r>
  <r>
    <n v="450"/>
    <d v="2024-07-31T00:00:00"/>
    <d v="2024-08-03T00:00:00"/>
    <n v="3"/>
    <x v="2"/>
    <x v="1"/>
    <s v="Yes"/>
    <n v="1"/>
  </r>
  <r>
    <n v="451"/>
    <d v="2024-07-28T00:00:00"/>
    <d v="2024-07-31T00:00:00"/>
    <n v="3"/>
    <x v="0"/>
    <x v="1"/>
    <s v="Yes"/>
    <n v="1"/>
  </r>
  <r>
    <n v="452"/>
    <d v="2024-07-19T00:00:00"/>
    <d v="2024-07-23T00:00:00"/>
    <n v="4"/>
    <x v="1"/>
    <x v="1"/>
    <s v="No"/>
    <n v="0"/>
  </r>
  <r>
    <n v="453"/>
    <d v="2024-07-24T00:00:00"/>
    <d v="2024-07-25T00:00:00"/>
    <n v="1"/>
    <x v="1"/>
    <x v="2"/>
    <s v="Yes"/>
    <n v="1"/>
  </r>
  <r>
    <n v="454"/>
    <d v="2024-07-02T00:00:00"/>
    <d v="2024-07-07T00:00:00"/>
    <n v="5"/>
    <x v="2"/>
    <x v="1"/>
    <s v="No"/>
    <n v="0"/>
  </r>
  <r>
    <n v="455"/>
    <d v="2024-07-23T00:00:00"/>
    <d v="2024-07-27T00:00:00"/>
    <n v="4"/>
    <x v="2"/>
    <x v="0"/>
    <s v="No"/>
    <n v="0"/>
  </r>
  <r>
    <n v="456"/>
    <d v="2024-07-15T00:00:00"/>
    <d v="2024-07-18T00:00:00"/>
    <n v="3"/>
    <x v="1"/>
    <x v="0"/>
    <s v="Yes"/>
    <n v="1"/>
  </r>
  <r>
    <n v="457"/>
    <d v="2024-07-06T00:00:00"/>
    <d v="2024-07-10T00:00:00"/>
    <n v="4"/>
    <x v="1"/>
    <x v="2"/>
    <s v="No"/>
    <n v="0"/>
  </r>
  <r>
    <n v="458"/>
    <d v="2024-07-15T00:00:00"/>
    <d v="2024-07-16T00:00:00"/>
    <n v="1"/>
    <x v="0"/>
    <x v="0"/>
    <s v="Yes"/>
    <n v="1"/>
  </r>
  <r>
    <n v="459"/>
    <d v="2024-07-13T00:00:00"/>
    <d v="2024-07-17T00:00:00"/>
    <n v="4"/>
    <x v="1"/>
    <x v="2"/>
    <s v="No"/>
    <n v="0"/>
  </r>
  <r>
    <n v="460"/>
    <d v="2024-07-01T00:00:00"/>
    <d v="2024-07-03T00:00:00"/>
    <n v="2"/>
    <x v="0"/>
    <x v="2"/>
    <s v="Yes"/>
    <n v="1"/>
  </r>
  <r>
    <n v="461"/>
    <d v="2024-07-23T00:00:00"/>
    <d v="2024-07-28T00:00:00"/>
    <n v="5"/>
    <x v="1"/>
    <x v="2"/>
    <s v="No"/>
    <n v="0"/>
  </r>
  <r>
    <n v="462"/>
    <d v="2024-07-31T00:00:00"/>
    <d v="2024-08-01T00:00:00"/>
    <n v="1"/>
    <x v="0"/>
    <x v="2"/>
    <s v="Yes"/>
    <n v="1"/>
  </r>
  <r>
    <n v="463"/>
    <d v="2024-07-24T00:00:00"/>
    <d v="2024-07-25T00:00:00"/>
    <n v="1"/>
    <x v="0"/>
    <x v="1"/>
    <s v="Yes"/>
    <n v="1"/>
  </r>
  <r>
    <n v="464"/>
    <d v="2024-07-14T00:00:00"/>
    <d v="2024-07-19T00:00:00"/>
    <n v="5"/>
    <x v="0"/>
    <x v="0"/>
    <s v="No"/>
    <n v="0"/>
  </r>
  <r>
    <n v="465"/>
    <d v="2024-07-17T00:00:00"/>
    <d v="2024-07-18T00:00:00"/>
    <n v="1"/>
    <x v="1"/>
    <x v="0"/>
    <s v="Yes"/>
    <n v="1"/>
  </r>
  <r>
    <n v="466"/>
    <d v="2024-07-27T00:00:00"/>
    <d v="2024-08-01T00:00:00"/>
    <n v="5"/>
    <x v="0"/>
    <x v="2"/>
    <s v="No"/>
    <n v="0"/>
  </r>
  <r>
    <n v="467"/>
    <d v="2024-07-05T00:00:00"/>
    <d v="2024-07-07T00:00:00"/>
    <n v="2"/>
    <x v="2"/>
    <x v="0"/>
    <s v="Yes"/>
    <n v="1"/>
  </r>
  <r>
    <n v="468"/>
    <d v="2024-07-15T00:00:00"/>
    <d v="2024-07-20T00:00:00"/>
    <n v="5"/>
    <x v="2"/>
    <x v="1"/>
    <s v="No"/>
    <n v="0"/>
  </r>
  <r>
    <n v="469"/>
    <d v="2024-07-28T00:00:00"/>
    <d v="2024-08-01T00:00:00"/>
    <n v="4"/>
    <x v="0"/>
    <x v="2"/>
    <s v="No"/>
    <n v="0"/>
  </r>
  <r>
    <n v="470"/>
    <d v="2024-07-25T00:00:00"/>
    <d v="2024-07-29T00:00:00"/>
    <n v="4"/>
    <x v="1"/>
    <x v="2"/>
    <s v="No"/>
    <n v="0"/>
  </r>
  <r>
    <n v="471"/>
    <d v="2024-07-26T00:00:00"/>
    <d v="2024-07-28T00:00:00"/>
    <n v="2"/>
    <x v="2"/>
    <x v="2"/>
    <s v="Yes"/>
    <n v="1"/>
  </r>
  <r>
    <n v="472"/>
    <d v="2024-07-31T00:00:00"/>
    <d v="2024-08-01T00:00:00"/>
    <n v="1"/>
    <x v="2"/>
    <x v="1"/>
    <s v="Yes"/>
    <n v="1"/>
  </r>
  <r>
    <n v="473"/>
    <d v="2024-07-17T00:00:00"/>
    <d v="2024-07-18T00:00:00"/>
    <n v="1"/>
    <x v="1"/>
    <x v="2"/>
    <s v="Yes"/>
    <n v="1"/>
  </r>
  <r>
    <n v="474"/>
    <d v="2024-07-06T00:00:00"/>
    <d v="2024-07-10T00:00:00"/>
    <n v="4"/>
    <x v="1"/>
    <x v="2"/>
    <s v="No"/>
    <n v="0"/>
  </r>
  <r>
    <n v="475"/>
    <d v="2024-07-08T00:00:00"/>
    <d v="2024-07-10T00:00:00"/>
    <n v="2"/>
    <x v="1"/>
    <x v="2"/>
    <s v="Yes"/>
    <n v="1"/>
  </r>
  <r>
    <n v="476"/>
    <d v="2024-07-04T00:00:00"/>
    <d v="2024-07-09T00:00:00"/>
    <n v="5"/>
    <x v="0"/>
    <x v="0"/>
    <s v="No"/>
    <n v="0"/>
  </r>
  <r>
    <n v="477"/>
    <d v="2024-07-28T00:00:00"/>
    <d v="2024-07-31T00:00:00"/>
    <n v="3"/>
    <x v="2"/>
    <x v="2"/>
    <s v="Yes"/>
    <n v="1"/>
  </r>
  <r>
    <n v="478"/>
    <d v="2024-07-07T00:00:00"/>
    <d v="2024-07-08T00:00:00"/>
    <n v="1"/>
    <x v="0"/>
    <x v="2"/>
    <s v="Yes"/>
    <n v="1"/>
  </r>
  <r>
    <n v="479"/>
    <d v="2024-07-13T00:00:00"/>
    <d v="2024-07-17T00:00:00"/>
    <n v="4"/>
    <x v="2"/>
    <x v="1"/>
    <s v="No"/>
    <n v="0"/>
  </r>
  <r>
    <n v="480"/>
    <d v="2024-07-03T00:00:00"/>
    <d v="2024-07-05T00:00:00"/>
    <n v="2"/>
    <x v="1"/>
    <x v="0"/>
    <s v="Yes"/>
    <n v="1"/>
  </r>
  <r>
    <n v="481"/>
    <d v="2024-07-11T00:00:00"/>
    <d v="2024-07-12T00:00:00"/>
    <n v="1"/>
    <x v="2"/>
    <x v="1"/>
    <s v="Yes"/>
    <n v="1"/>
  </r>
  <r>
    <n v="482"/>
    <d v="2024-07-05T00:00:00"/>
    <d v="2024-07-06T00:00:00"/>
    <n v="1"/>
    <x v="1"/>
    <x v="2"/>
    <s v="Yes"/>
    <n v="1"/>
  </r>
  <r>
    <n v="483"/>
    <d v="2024-07-20T00:00:00"/>
    <d v="2024-07-23T00:00:00"/>
    <n v="3"/>
    <x v="2"/>
    <x v="1"/>
    <s v="Yes"/>
    <n v="1"/>
  </r>
  <r>
    <n v="484"/>
    <d v="2024-07-18T00:00:00"/>
    <d v="2024-07-19T00:00:00"/>
    <n v="1"/>
    <x v="1"/>
    <x v="1"/>
    <s v="Yes"/>
    <n v="1"/>
  </r>
  <r>
    <n v="485"/>
    <d v="2024-07-16T00:00:00"/>
    <d v="2024-07-20T00:00:00"/>
    <n v="4"/>
    <x v="0"/>
    <x v="0"/>
    <s v="No"/>
    <n v="0"/>
  </r>
  <r>
    <n v="486"/>
    <d v="2024-07-06T00:00:00"/>
    <d v="2024-07-10T00:00:00"/>
    <n v="4"/>
    <x v="0"/>
    <x v="0"/>
    <s v="No"/>
    <n v="0"/>
  </r>
  <r>
    <n v="487"/>
    <d v="2024-07-01T00:00:00"/>
    <d v="2024-07-03T00:00:00"/>
    <n v="2"/>
    <x v="2"/>
    <x v="0"/>
    <s v="Yes"/>
    <n v="1"/>
  </r>
  <r>
    <n v="488"/>
    <d v="2024-07-01T00:00:00"/>
    <d v="2024-07-06T00:00:00"/>
    <n v="5"/>
    <x v="1"/>
    <x v="0"/>
    <s v="No"/>
    <n v="0"/>
  </r>
  <r>
    <n v="489"/>
    <d v="2024-07-20T00:00:00"/>
    <d v="2024-07-22T00:00:00"/>
    <n v="2"/>
    <x v="2"/>
    <x v="2"/>
    <s v="Yes"/>
    <n v="1"/>
  </r>
  <r>
    <n v="490"/>
    <d v="2024-07-01T00:00:00"/>
    <d v="2024-07-03T00:00:00"/>
    <n v="2"/>
    <x v="1"/>
    <x v="2"/>
    <s v="Yes"/>
    <n v="1"/>
  </r>
  <r>
    <n v="491"/>
    <d v="2024-07-28T00:00:00"/>
    <d v="2024-07-31T00:00:00"/>
    <n v="3"/>
    <x v="0"/>
    <x v="2"/>
    <s v="Yes"/>
    <n v="1"/>
  </r>
  <r>
    <n v="492"/>
    <d v="2024-07-18T00:00:00"/>
    <d v="2024-07-21T00:00:00"/>
    <n v="3"/>
    <x v="1"/>
    <x v="1"/>
    <s v="Yes"/>
    <n v="1"/>
  </r>
  <r>
    <n v="493"/>
    <d v="2024-07-23T00:00:00"/>
    <d v="2024-07-28T00:00:00"/>
    <n v="5"/>
    <x v="1"/>
    <x v="0"/>
    <s v="No"/>
    <n v="0"/>
  </r>
  <r>
    <n v="494"/>
    <d v="2024-07-04T00:00:00"/>
    <d v="2024-07-07T00:00:00"/>
    <n v="3"/>
    <x v="0"/>
    <x v="1"/>
    <s v="Yes"/>
    <n v="1"/>
  </r>
  <r>
    <n v="495"/>
    <d v="2024-07-11T00:00:00"/>
    <d v="2024-07-15T00:00:00"/>
    <n v="4"/>
    <x v="2"/>
    <x v="0"/>
    <s v="No"/>
    <n v="0"/>
  </r>
  <r>
    <n v="496"/>
    <d v="2024-07-15T00:00:00"/>
    <d v="2024-07-19T00:00:00"/>
    <n v="4"/>
    <x v="1"/>
    <x v="1"/>
    <s v="No"/>
    <n v="0"/>
  </r>
  <r>
    <n v="497"/>
    <d v="2024-07-11T00:00:00"/>
    <d v="2024-07-14T00:00:00"/>
    <n v="3"/>
    <x v="2"/>
    <x v="0"/>
    <s v="Yes"/>
    <n v="1"/>
  </r>
  <r>
    <n v="498"/>
    <d v="2024-07-17T00:00:00"/>
    <d v="2024-07-18T00:00:00"/>
    <n v="1"/>
    <x v="0"/>
    <x v="0"/>
    <s v="Yes"/>
    <n v="1"/>
  </r>
  <r>
    <n v="499"/>
    <d v="2024-07-24T00:00:00"/>
    <d v="2024-07-29T00:00:00"/>
    <n v="5"/>
    <x v="2"/>
    <x v="2"/>
    <s v="No"/>
    <n v="0"/>
  </r>
  <r>
    <n v="500"/>
    <d v="2024-07-02T00:00:00"/>
    <d v="2024-07-07T00:00:00"/>
    <n v="5"/>
    <x v="1"/>
    <x v="1"/>
    <s v="No"/>
    <n v="0"/>
  </r>
  <r>
    <n v="501"/>
    <d v="2024-07-25T00:00:00"/>
    <d v="2024-07-30T00:00:00"/>
    <n v="5"/>
    <x v="2"/>
    <x v="0"/>
    <s v="No"/>
    <n v="0"/>
  </r>
  <r>
    <n v="502"/>
    <d v="2024-07-01T00:00:00"/>
    <d v="2024-07-05T00:00:00"/>
    <n v="4"/>
    <x v="0"/>
    <x v="0"/>
    <s v="No"/>
    <n v="0"/>
  </r>
  <r>
    <n v="503"/>
    <d v="2024-07-22T00:00:00"/>
    <d v="2024-07-25T00:00:00"/>
    <n v="3"/>
    <x v="1"/>
    <x v="1"/>
    <s v="Yes"/>
    <n v="1"/>
  </r>
  <r>
    <n v="504"/>
    <d v="2024-07-16T00:00:00"/>
    <d v="2024-07-20T00:00:00"/>
    <n v="4"/>
    <x v="0"/>
    <x v="1"/>
    <s v="No"/>
    <n v="0"/>
  </r>
  <r>
    <n v="505"/>
    <d v="2024-07-05T00:00:00"/>
    <d v="2024-07-09T00:00:00"/>
    <n v="4"/>
    <x v="1"/>
    <x v="1"/>
    <s v="No"/>
    <n v="0"/>
  </r>
  <r>
    <n v="506"/>
    <d v="2024-07-16T00:00:00"/>
    <d v="2024-07-19T00:00:00"/>
    <n v="3"/>
    <x v="1"/>
    <x v="0"/>
    <s v="Yes"/>
    <n v="1"/>
  </r>
  <r>
    <n v="507"/>
    <d v="2024-07-10T00:00:00"/>
    <d v="2024-07-11T00:00:00"/>
    <n v="1"/>
    <x v="1"/>
    <x v="0"/>
    <s v="Yes"/>
    <n v="1"/>
  </r>
  <r>
    <n v="508"/>
    <d v="2024-07-03T00:00:00"/>
    <d v="2024-07-06T00:00:00"/>
    <n v="3"/>
    <x v="2"/>
    <x v="0"/>
    <s v="Yes"/>
    <n v="1"/>
  </r>
  <r>
    <n v="509"/>
    <d v="2024-07-23T00:00:00"/>
    <d v="2024-07-28T00:00:00"/>
    <n v="5"/>
    <x v="2"/>
    <x v="0"/>
    <s v="No"/>
    <n v="0"/>
  </r>
  <r>
    <n v="510"/>
    <d v="2024-07-15T00:00:00"/>
    <d v="2024-07-16T00:00:00"/>
    <n v="1"/>
    <x v="1"/>
    <x v="2"/>
    <s v="Yes"/>
    <n v="1"/>
  </r>
  <r>
    <n v="511"/>
    <d v="2024-07-25T00:00:00"/>
    <d v="2024-07-27T00:00:00"/>
    <n v="2"/>
    <x v="0"/>
    <x v="0"/>
    <s v="Yes"/>
    <n v="1"/>
  </r>
  <r>
    <n v="512"/>
    <d v="2024-07-23T00:00:00"/>
    <d v="2024-07-28T00:00:00"/>
    <n v="5"/>
    <x v="1"/>
    <x v="1"/>
    <s v="No"/>
    <n v="0"/>
  </r>
  <r>
    <n v="513"/>
    <d v="2024-07-20T00:00:00"/>
    <d v="2024-07-23T00:00:00"/>
    <n v="3"/>
    <x v="2"/>
    <x v="1"/>
    <s v="Yes"/>
    <n v="1"/>
  </r>
  <r>
    <n v="514"/>
    <d v="2024-07-16T00:00:00"/>
    <d v="2024-07-17T00:00:00"/>
    <n v="1"/>
    <x v="0"/>
    <x v="1"/>
    <s v="Yes"/>
    <n v="1"/>
  </r>
  <r>
    <n v="515"/>
    <d v="2024-07-21T00:00:00"/>
    <d v="2024-07-22T00:00:00"/>
    <n v="1"/>
    <x v="0"/>
    <x v="2"/>
    <s v="Yes"/>
    <n v="1"/>
  </r>
  <r>
    <n v="516"/>
    <d v="2024-07-13T00:00:00"/>
    <d v="2024-07-17T00:00:00"/>
    <n v="4"/>
    <x v="2"/>
    <x v="1"/>
    <s v="No"/>
    <n v="0"/>
  </r>
  <r>
    <n v="517"/>
    <d v="2024-07-20T00:00:00"/>
    <d v="2024-07-23T00:00:00"/>
    <n v="3"/>
    <x v="1"/>
    <x v="0"/>
    <s v="Yes"/>
    <n v="1"/>
  </r>
  <r>
    <n v="518"/>
    <d v="2024-07-29T00:00:00"/>
    <d v="2024-08-02T00:00:00"/>
    <n v="4"/>
    <x v="2"/>
    <x v="0"/>
    <s v="No"/>
    <n v="0"/>
  </r>
  <r>
    <n v="519"/>
    <d v="2024-07-16T00:00:00"/>
    <d v="2024-07-17T00:00:00"/>
    <n v="1"/>
    <x v="2"/>
    <x v="2"/>
    <s v="Yes"/>
    <n v="1"/>
  </r>
  <r>
    <n v="520"/>
    <d v="2024-07-17T00:00:00"/>
    <d v="2024-07-20T00:00:00"/>
    <n v="3"/>
    <x v="1"/>
    <x v="1"/>
    <s v="Yes"/>
    <n v="1"/>
  </r>
  <r>
    <n v="521"/>
    <d v="2024-07-15T00:00:00"/>
    <d v="2024-07-19T00:00:00"/>
    <n v="4"/>
    <x v="2"/>
    <x v="1"/>
    <s v="No"/>
    <n v="0"/>
  </r>
  <r>
    <n v="522"/>
    <d v="2024-07-27T00:00:00"/>
    <d v="2024-07-29T00:00:00"/>
    <n v="2"/>
    <x v="2"/>
    <x v="1"/>
    <s v="Yes"/>
    <n v="1"/>
  </r>
  <r>
    <n v="523"/>
    <d v="2024-07-04T00:00:00"/>
    <d v="2024-07-07T00:00:00"/>
    <n v="3"/>
    <x v="0"/>
    <x v="0"/>
    <s v="Yes"/>
    <n v="1"/>
  </r>
  <r>
    <n v="524"/>
    <d v="2024-07-19T00:00:00"/>
    <d v="2024-07-21T00:00:00"/>
    <n v="2"/>
    <x v="0"/>
    <x v="2"/>
    <s v="Yes"/>
    <n v="1"/>
  </r>
  <r>
    <n v="525"/>
    <d v="2024-07-01T00:00:00"/>
    <d v="2024-07-06T00:00:00"/>
    <n v="5"/>
    <x v="0"/>
    <x v="0"/>
    <s v="No"/>
    <n v="0"/>
  </r>
  <r>
    <n v="526"/>
    <d v="2024-07-16T00:00:00"/>
    <d v="2024-07-19T00:00:00"/>
    <n v="3"/>
    <x v="0"/>
    <x v="0"/>
    <s v="Yes"/>
    <n v="1"/>
  </r>
  <r>
    <n v="527"/>
    <d v="2024-07-20T00:00:00"/>
    <d v="2024-07-24T00:00:00"/>
    <n v="4"/>
    <x v="1"/>
    <x v="1"/>
    <s v="No"/>
    <n v="0"/>
  </r>
  <r>
    <n v="528"/>
    <d v="2024-07-05T00:00:00"/>
    <d v="2024-07-06T00:00:00"/>
    <n v="1"/>
    <x v="2"/>
    <x v="1"/>
    <s v="Yes"/>
    <n v="1"/>
  </r>
  <r>
    <n v="529"/>
    <d v="2024-07-09T00:00:00"/>
    <d v="2024-07-12T00:00:00"/>
    <n v="3"/>
    <x v="1"/>
    <x v="2"/>
    <s v="Yes"/>
    <n v="1"/>
  </r>
  <r>
    <n v="530"/>
    <d v="2024-07-27T00:00:00"/>
    <d v="2024-07-30T00:00:00"/>
    <n v="3"/>
    <x v="1"/>
    <x v="2"/>
    <s v="Yes"/>
    <n v="1"/>
  </r>
  <r>
    <n v="531"/>
    <d v="2024-07-03T00:00:00"/>
    <d v="2024-07-07T00:00:00"/>
    <n v="4"/>
    <x v="0"/>
    <x v="0"/>
    <s v="No"/>
    <n v="0"/>
  </r>
  <r>
    <n v="532"/>
    <d v="2024-07-22T00:00:00"/>
    <d v="2024-07-26T00:00:00"/>
    <n v="4"/>
    <x v="0"/>
    <x v="0"/>
    <s v="No"/>
    <n v="0"/>
  </r>
  <r>
    <n v="533"/>
    <d v="2024-07-20T00:00:00"/>
    <d v="2024-07-24T00:00:00"/>
    <n v="4"/>
    <x v="1"/>
    <x v="2"/>
    <s v="No"/>
    <n v="0"/>
  </r>
  <r>
    <n v="534"/>
    <d v="2024-07-24T00:00:00"/>
    <d v="2024-07-26T00:00:00"/>
    <n v="2"/>
    <x v="1"/>
    <x v="1"/>
    <s v="Yes"/>
    <n v="1"/>
  </r>
  <r>
    <n v="535"/>
    <d v="2024-07-03T00:00:00"/>
    <d v="2024-07-08T00:00:00"/>
    <n v="5"/>
    <x v="2"/>
    <x v="0"/>
    <s v="No"/>
    <n v="0"/>
  </r>
  <r>
    <n v="536"/>
    <d v="2024-07-02T00:00:00"/>
    <d v="2024-07-05T00:00:00"/>
    <n v="3"/>
    <x v="0"/>
    <x v="2"/>
    <s v="Yes"/>
    <n v="1"/>
  </r>
  <r>
    <n v="537"/>
    <d v="2024-07-21T00:00:00"/>
    <d v="2024-07-24T00:00:00"/>
    <n v="3"/>
    <x v="1"/>
    <x v="2"/>
    <s v="Yes"/>
    <n v="1"/>
  </r>
  <r>
    <n v="538"/>
    <d v="2024-07-05T00:00:00"/>
    <d v="2024-07-09T00:00:00"/>
    <n v="4"/>
    <x v="2"/>
    <x v="1"/>
    <s v="No"/>
    <n v="0"/>
  </r>
  <r>
    <n v="539"/>
    <d v="2024-07-05T00:00:00"/>
    <d v="2024-07-09T00:00:00"/>
    <n v="4"/>
    <x v="0"/>
    <x v="0"/>
    <s v="No"/>
    <n v="0"/>
  </r>
  <r>
    <n v="540"/>
    <d v="2024-07-16T00:00:00"/>
    <d v="2024-07-19T00:00:00"/>
    <n v="3"/>
    <x v="1"/>
    <x v="1"/>
    <s v="Yes"/>
    <n v="1"/>
  </r>
  <r>
    <n v="541"/>
    <d v="2024-07-02T00:00:00"/>
    <d v="2024-07-03T00:00:00"/>
    <n v="1"/>
    <x v="1"/>
    <x v="2"/>
    <s v="Yes"/>
    <n v="1"/>
  </r>
  <r>
    <n v="542"/>
    <d v="2024-07-26T00:00:00"/>
    <d v="2024-07-28T00:00:00"/>
    <n v="2"/>
    <x v="1"/>
    <x v="2"/>
    <s v="Yes"/>
    <n v="1"/>
  </r>
  <r>
    <n v="543"/>
    <d v="2024-07-18T00:00:00"/>
    <d v="2024-07-19T00:00:00"/>
    <n v="1"/>
    <x v="0"/>
    <x v="0"/>
    <s v="Yes"/>
    <n v="1"/>
  </r>
  <r>
    <n v="544"/>
    <d v="2024-07-04T00:00:00"/>
    <d v="2024-07-05T00:00:00"/>
    <n v="1"/>
    <x v="2"/>
    <x v="1"/>
    <s v="Yes"/>
    <n v="1"/>
  </r>
  <r>
    <n v="545"/>
    <d v="2024-07-25T00:00:00"/>
    <d v="2024-07-28T00:00:00"/>
    <n v="3"/>
    <x v="0"/>
    <x v="1"/>
    <s v="Yes"/>
    <n v="1"/>
  </r>
  <r>
    <n v="546"/>
    <d v="2024-07-31T00:00:00"/>
    <d v="2024-08-03T00:00:00"/>
    <n v="3"/>
    <x v="0"/>
    <x v="0"/>
    <s v="Yes"/>
    <n v="1"/>
  </r>
  <r>
    <n v="547"/>
    <d v="2024-07-29T00:00:00"/>
    <d v="2024-07-30T00:00:00"/>
    <n v="1"/>
    <x v="2"/>
    <x v="1"/>
    <s v="Yes"/>
    <n v="1"/>
  </r>
  <r>
    <n v="548"/>
    <d v="2024-07-31T00:00:00"/>
    <d v="2024-08-02T00:00:00"/>
    <n v="2"/>
    <x v="1"/>
    <x v="2"/>
    <s v="Yes"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D0376FB-FA96-4F0E-B390-C8656C2E33C1}" name="PivotTable1" cacheId="51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2:B6" firstHeaderRow="1" firstDataRow="1" firstDataCol="1"/>
  <pivotFields count="8">
    <pivotField compact="0" outline="0" showAll="0"/>
    <pivotField compact="0" numFmtId="164" outline="0" showAll="0"/>
    <pivotField compact="0" numFmtId="164" outline="0" showAll="0"/>
    <pivotField compact="0" outline="0" showAll="0"/>
    <pivotField compact="0" outline="0" showAll="0"/>
    <pivotField axis="axisRow" compact="0" outline="0" showAll="0" sortType="descending">
      <items count="4">
        <item x="1"/>
        <item x="0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dataField="1" compact="0" outline="0" showAll="0"/>
  </pivotFields>
  <rowFields count="1">
    <field x="5"/>
  </rowFields>
  <rowItems count="4">
    <i>
      <x v="2"/>
    </i>
    <i>
      <x/>
    </i>
    <i>
      <x v="1"/>
    </i>
    <i t="grand">
      <x/>
    </i>
  </rowItems>
  <colItems count="1">
    <i/>
  </colItems>
  <dataFields count="1">
    <dataField name="Average of on_time_flag" fld="7" subtotal="average" baseField="0" baseItem="0" numFmtId="165"/>
  </dataFields>
  <formats count="2">
    <format dxfId="39">
      <pivotArea outline="0" collapsedLevelsAreSubtotals="1" fieldPosition="0"/>
    </format>
    <format dxfId="40">
      <pivotArea dataOnly="0" labelOnly="1" outline="0" axis="axisValues" fieldPosition="0"/>
    </format>
  </formats>
  <chartFormats count="4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AB199FC-4B70-403C-8C1A-5223DB7B2CAD}" name="PivotTable2" cacheId="51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2:B6" firstHeaderRow="1" firstDataRow="1" firstDataCol="1"/>
  <pivotFields count="8">
    <pivotField compact="0" outline="0" showAll="0"/>
    <pivotField compact="0" numFmtId="164" outline="0" showAll="0"/>
    <pivotField compact="0" numFmtId="164" outline="0" showAll="0"/>
    <pivotField dataField="1" compact="0" outline="0" showAll="0"/>
    <pivotField compact="0" outline="0" showAll="0"/>
    <pivotField axis="axisRow" compact="0" outline="0" showAll="0" sortType="descending">
      <items count="4">
        <item x="2"/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</pivotFields>
  <rowFields count="1">
    <field x="5"/>
  </rowFields>
  <rowItems count="4">
    <i>
      <x v="1"/>
    </i>
    <i>
      <x/>
    </i>
    <i>
      <x v="2"/>
    </i>
    <i t="grand">
      <x/>
    </i>
  </rowItems>
  <colItems count="1">
    <i/>
  </colItems>
  <dataFields count="1">
    <dataField name="Average of  delivery_time_days " fld="3" subtotal="average" baseField="0" baseItem="0" numFmtId="166"/>
  </dataFields>
  <formats count="2">
    <format dxfId="37">
      <pivotArea outline="0" collapsedLevelsAreSubtotals="1" fieldPosition="0"/>
    </format>
    <format dxfId="38">
      <pivotArea dataOnly="0" labelOnly="1" outline="0" axis="axisValues" fieldPosition="0"/>
    </format>
  </formats>
  <chartFormats count="4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D5F26E2-8D25-477D-AB45-8B1BC1AC42A7}" name="PivotTable5" cacheId="51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2">
  <location ref="A2:D6" firstHeaderRow="0" firstDataRow="1" firstDataCol="1"/>
  <pivotFields count="8">
    <pivotField dataField="1" compact="0" outline="0" showAll="0"/>
    <pivotField compact="0" numFmtId="164" outline="0" showAll="0"/>
    <pivotField compact="0" numFmtId="164" outline="0" showAll="0"/>
    <pivotField dataField="1" compact="0" outline="0" showAll="0"/>
    <pivotField axis="axisRow" compact="0" outline="0" showAll="0">
      <items count="4">
        <item x="0"/>
        <item x="2"/>
        <item x="1"/>
        <item t="default"/>
      </items>
    </pivotField>
    <pivotField compact="0" outline="0" showAll="0"/>
    <pivotField compact="0" outline="0" showAll="0"/>
    <pivotField dataField="1" compact="0" outline="0" showAll="0"/>
  </pivotFields>
  <rowFields count="1">
    <field x="4"/>
  </rowFields>
  <rowItems count="4">
    <i>
      <x/>
    </i>
    <i>
      <x v="1"/>
    </i>
    <i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Count of order_id" fld="0" subtotal="count" baseField="0" baseItem="0"/>
    <dataField name="Average of on_time_flag" fld="7" subtotal="average" baseField="0" baseItem="0" numFmtId="165"/>
    <dataField name="Average of  delivery_time_days " fld="3" subtotal="average" baseField="0" baseItem="0" numFmtId="166"/>
  </dataFields>
  <formats count="4">
    <format dxfId="33">
      <pivotArea outline="0" fieldPosition="0">
        <references count="1">
          <reference field="4294967294" count="1" selected="0">
            <x v="1"/>
          </reference>
        </references>
      </pivotArea>
    </format>
    <format dxfId="34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35">
      <pivotArea outline="0" fieldPosition="0">
        <references count="1">
          <reference field="4294967294" count="1" selected="0">
            <x v="2"/>
          </reference>
        </references>
      </pivotArea>
    </format>
    <format dxfId="36">
      <pivotArea dataOnly="0" labelOnly="1" outline="0" fieldPosition="0">
        <references count="1">
          <reference field="4294967294" count="1"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E1DD221-AA3D-42EE-870B-E9E1495ED411}" name="PivotTable3" cacheId="51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6">
  <location ref="A2:E7" firstHeaderRow="1" firstDataRow="2" firstDataCol="1"/>
  <pivotFields count="8">
    <pivotField compact="0" outline="0" showAll="0"/>
    <pivotField compact="0" numFmtId="164" outline="0" showAll="0"/>
    <pivotField compact="0" numFmtId="164" outline="0" showAll="0"/>
    <pivotField compact="0" outline="0" showAll="0"/>
    <pivotField axis="axisRow" compact="0" outline="0" showAll="0">
      <items count="4">
        <item x="0"/>
        <item x="2"/>
        <item x="1"/>
        <item t="default"/>
      </items>
    </pivotField>
    <pivotField axis="axisCol" compact="0" outline="0" showAll="0">
      <items count="4">
        <item x="2"/>
        <item x="0"/>
        <item x="1"/>
        <item t="default"/>
      </items>
    </pivotField>
    <pivotField compact="0" outline="0" showAll="0"/>
    <pivotField dataField="1" compact="0" outline="0" showAll="0"/>
  </pivotFields>
  <rowFields count="1">
    <field x="4"/>
  </rowFields>
  <rowItems count="4">
    <i>
      <x/>
    </i>
    <i>
      <x v="1"/>
    </i>
    <i>
      <x v="2"/>
    </i>
    <i t="grand">
      <x/>
    </i>
  </rowItems>
  <colFields count="1">
    <field x="5"/>
  </colFields>
  <colItems count="4">
    <i>
      <x/>
    </i>
    <i>
      <x v="1"/>
    </i>
    <i>
      <x v="2"/>
    </i>
    <i t="grand">
      <x/>
    </i>
  </colItems>
  <dataFields count="1">
    <dataField name="Average of on_time_flag" fld="7" subtotal="average" baseField="0" baseItem="0" numFmtId="165"/>
  </dataFields>
  <formats count="10">
    <format dxfId="23">
      <pivotArea type="all" dataOnly="0" outline="0" fieldPosition="0"/>
    </format>
    <format dxfId="24">
      <pivotArea outline="0" collapsedLevelsAreSubtotals="1" fieldPosition="0"/>
    </format>
    <format dxfId="25">
      <pivotArea type="origin" dataOnly="0" labelOnly="1" outline="0" fieldPosition="0"/>
    </format>
    <format dxfId="26">
      <pivotArea field="5" type="button" dataOnly="0" labelOnly="1" outline="0" axis="axisCol" fieldPosition="0"/>
    </format>
    <format dxfId="27">
      <pivotArea type="topRight" dataOnly="0" labelOnly="1" outline="0" fieldPosition="0"/>
    </format>
    <format dxfId="28">
      <pivotArea field="4" type="button" dataOnly="0" labelOnly="1" outline="0" axis="axisRow" fieldPosition="0"/>
    </format>
    <format dxfId="29">
      <pivotArea dataOnly="0" labelOnly="1" outline="0" fieldPosition="0">
        <references count="1">
          <reference field="4" count="0"/>
        </references>
      </pivotArea>
    </format>
    <format dxfId="30">
      <pivotArea dataOnly="0" labelOnly="1" grandRow="1" outline="0" fieldPosition="0"/>
    </format>
    <format dxfId="31">
      <pivotArea dataOnly="0" labelOnly="1" outline="0" fieldPosition="0">
        <references count="1">
          <reference field="5" count="0"/>
        </references>
      </pivotArea>
    </format>
    <format dxfId="32">
      <pivotArea dataOnly="0" labelOnly="1" grandCol="1" outline="0" fieldPosition="0"/>
    </format>
  </formats>
  <conditionalFormats count="3">
    <conditionalFormat priority="1">
      <pivotAreas count="1">
        <pivotArea type="data" outline="0" collapsedLevelsAreSubtotals="1" fieldPosition="0">
          <references count="2">
            <reference field="4294967294" count="1" selected="0">
              <x v="0"/>
            </reference>
            <reference field="4" count="3" selected="0">
              <x v="0"/>
              <x v="1"/>
              <x v="2"/>
            </reference>
          </references>
        </pivotArea>
      </pivotAreas>
    </conditionalFormat>
    <conditionalFormat priority="2">
      <pivotAreas count="1">
        <pivotArea type="data" outline="0" collapsedLevelsAreSubtotals="1" fieldPosition="0">
          <references count="2">
            <reference field="4294967294" count="1" selected="0">
              <x v="0"/>
            </reference>
            <reference field="4" count="3" selected="0">
              <x v="0"/>
              <x v="1"/>
              <x v="2"/>
            </reference>
          </references>
        </pivotArea>
      </pivotAreas>
    </conditionalFormat>
    <conditionalFormat priority="3">
      <pivotAreas count="1">
        <pivotArea type="data" outline="0" collapsedLevelsAreSubtotals="1" fieldPosition="0">
          <references count="2">
            <reference field="4294967294" count="1" selected="0">
              <x v="0"/>
            </reference>
            <reference field="4" count="3" selected="0">
              <x v="0"/>
              <x v="1"/>
              <x v="2"/>
            </reference>
          </references>
        </pivotArea>
      </pivotAreas>
    </conditionalFormat>
  </conditionalFormats>
  <chartFormats count="12">
    <chartFormat chart="2" format="3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3" format="6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3" format="7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3" format="8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4" format="9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4" format="1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4" format="1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5" format="12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5" format="13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5" format="14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EC4383B-A78A-4362-9DD5-3267C10FA3E6}" name="PivotTable1" cacheId="51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6">
  <location ref="B223:D226" firstHeaderRow="1" firstDataRow="2" firstDataCol="1"/>
  <pivotFields count="8">
    <pivotField compact="0" outline="0" showAll="0"/>
    <pivotField compact="0" numFmtId="164" outline="0" showAll="0"/>
    <pivotField compact="0" numFmtId="164" outline="0" showAll="0"/>
    <pivotField compact="0" outline="0" showAll="0"/>
    <pivotField axis="axisRow" compact="0" outline="0" showAll="0">
      <items count="4">
        <item x="0"/>
        <item h="1" x="2"/>
        <item h="1" x="1"/>
        <item t="default"/>
      </items>
    </pivotField>
    <pivotField axis="axisCol" compact="0" outline="0" showAll="0">
      <items count="4">
        <item x="2"/>
        <item h="1" x="0"/>
        <item h="1" x="1"/>
        <item t="default"/>
      </items>
    </pivotField>
    <pivotField compact="0" outline="0" showAll="0"/>
    <pivotField dataField="1" compact="0" outline="0" showAll="0"/>
  </pivotFields>
  <rowFields count="1">
    <field x="4"/>
  </rowFields>
  <rowItems count="2">
    <i>
      <x/>
    </i>
    <i t="grand">
      <x/>
    </i>
  </rowItems>
  <colFields count="1">
    <field x="5"/>
  </colFields>
  <colItems count="2">
    <i>
      <x/>
    </i>
    <i t="grand">
      <x/>
    </i>
  </colItems>
  <dataFields count="1">
    <dataField name="Average of on_time_flag" fld="7" subtotal="average" baseField="0" baseItem="0" numFmtId="165"/>
  </dataFields>
  <formats count="10">
    <format dxfId="13">
      <pivotArea type="all" dataOnly="0" outline="0" fieldPosition="0"/>
    </format>
    <format dxfId="14">
      <pivotArea outline="0" collapsedLevelsAreSubtotals="1" fieldPosition="0"/>
    </format>
    <format dxfId="15">
      <pivotArea type="origin" dataOnly="0" labelOnly="1" outline="0" fieldPosition="0"/>
    </format>
    <format dxfId="16">
      <pivotArea field="5" type="button" dataOnly="0" labelOnly="1" outline="0" axis="axisCol" fieldPosition="0"/>
    </format>
    <format dxfId="17">
      <pivotArea type="topRight" dataOnly="0" labelOnly="1" outline="0" fieldPosition="0"/>
    </format>
    <format dxfId="18">
      <pivotArea field="4" type="button" dataOnly="0" labelOnly="1" outline="0" axis="axisRow" fieldPosition="0"/>
    </format>
    <format dxfId="19">
      <pivotArea dataOnly="0" labelOnly="1" outline="0" fieldPosition="0">
        <references count="1">
          <reference field="4" count="0"/>
        </references>
      </pivotArea>
    </format>
    <format dxfId="20">
      <pivotArea dataOnly="0" labelOnly="1" grandRow="1" outline="0" fieldPosition="0"/>
    </format>
    <format dxfId="21">
      <pivotArea dataOnly="0" labelOnly="1" outline="0" fieldPosition="0">
        <references count="1">
          <reference field="5" count="0"/>
        </references>
      </pivotArea>
    </format>
    <format dxfId="22">
      <pivotArea dataOnly="0" labelOnly="1" grandCol="1" outline="0" fieldPosition="0"/>
    </format>
  </formats>
  <conditionalFormats count="3">
    <conditionalFormat priority="1">
      <pivotAreas count="1">
        <pivotArea type="data" outline="0" collapsedLevelsAreSubtotals="1" fieldPosition="0">
          <references count="2">
            <reference field="4294967294" count="1" selected="0">
              <x v="0"/>
            </reference>
            <reference field="4" count="3" selected="0">
              <x v="0"/>
              <x v="1"/>
              <x v="2"/>
            </reference>
          </references>
        </pivotArea>
      </pivotAreas>
    </conditionalFormat>
    <conditionalFormat priority="2">
      <pivotAreas count="1">
        <pivotArea type="data" outline="0" collapsedLevelsAreSubtotals="1" fieldPosition="0">
          <references count="2">
            <reference field="4294967294" count="1" selected="0">
              <x v="0"/>
            </reference>
            <reference field="4" count="3" selected="0">
              <x v="0"/>
              <x v="1"/>
              <x v="2"/>
            </reference>
          </references>
        </pivotArea>
      </pivotAreas>
    </conditionalFormat>
    <conditionalFormat priority="3">
      <pivotAreas count="1">
        <pivotArea type="data" outline="0" collapsedLevelsAreSubtotals="1" fieldPosition="0">
          <references count="2">
            <reference field="4294967294" count="1" selected="0">
              <x v="0"/>
            </reference>
            <reference field="4" count="3" selected="0">
              <x v="0"/>
              <x v="1"/>
              <x v="2"/>
            </reference>
          </references>
        </pivotArea>
      </pivotAreas>
    </conditionalFormat>
  </conditionalFormats>
  <chartFormats count="12">
    <chartFormat chart="2" format="3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3" format="6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3" format="7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3" format="8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4" format="9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4" format="1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4" format="1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5" format="12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5" format="13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5" format="14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A6CF6AB-E4A3-4EA4-B6B4-FF92466D4F35}" name="PivotTable4" cacheId="51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7">
  <location ref="A2:B6" firstHeaderRow="1" firstDataRow="1" firstDataCol="1"/>
  <pivotFields count="8">
    <pivotField dataField="1" compact="0" outline="0" showAll="0"/>
    <pivotField compact="0" numFmtId="164" outline="0" showAll="0"/>
    <pivotField compact="0" numFmtId="164" outline="0" showAll="0"/>
    <pivotField compact="0" outline="0" showAll="0"/>
    <pivotField axis="axisRow" compact="0" outline="0" showAll="0">
      <items count="4">
        <item x="0"/>
        <item x="2"/>
        <item x="1"/>
        <item t="default"/>
      </items>
    </pivotField>
    <pivotField compact="0" outline="0" showAll="0"/>
    <pivotField compact="0" outline="0" showAll="0"/>
    <pivotField compact="0" outline="0" showAll="0"/>
  </pivotFields>
  <rowFields count="1">
    <field x="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order_id" fld="0" subtotal="count" baseField="0" baseItem="0"/>
  </dataFields>
  <chartFormats count="4">
    <chartFormat chart="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7E8C66E-2468-4A3E-AA35-083105AB69FE}" name="PivotTable5" cacheId="51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8">
  <location ref="A17:B21" firstHeaderRow="1" firstDataRow="1" firstDataCol="1"/>
  <pivotFields count="8">
    <pivotField compact="0" outline="0" showAll="0"/>
    <pivotField compact="0" numFmtId="164" outline="0" showAll="0"/>
    <pivotField compact="0" numFmtId="164" outline="0" showAll="0"/>
    <pivotField dataField="1" compact="0" outline="0" showAll="0"/>
    <pivotField axis="axisRow" compact="0" outline="0" showAll="0" sortType="descending">
      <items count="4">
        <item x="0"/>
        <item x="2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outline="0" showAll="0"/>
  </pivotFields>
  <rowFields count="1">
    <field x="4"/>
  </rowFields>
  <rowItems count="4">
    <i>
      <x v="1"/>
    </i>
    <i>
      <x v="2"/>
    </i>
    <i>
      <x/>
    </i>
    <i t="grand">
      <x/>
    </i>
  </rowItems>
  <colItems count="1">
    <i/>
  </colItems>
  <dataFields count="1">
    <dataField name="Average of  delivery_time_days " fld="3" subtotal="average" baseField="0" baseItem="0" numFmtId="166"/>
  </dataFields>
  <formats count="2">
    <format dxfId="11">
      <pivotArea outline="0" fieldPosition="0">
        <references count="1">
          <reference field="4294967294" count="1" selected="0">
            <x v="0"/>
          </reference>
        </references>
      </pivotArea>
    </format>
    <format dxfId="12">
      <pivotArea dataOnly="0" labelOnly="1" outline="0" fieldPosition="0">
        <references count="1">
          <reference field="4294967294" count="1">
            <x v="0"/>
          </reference>
        </references>
      </pivotArea>
    </format>
  </formats>
  <chartFormats count="5">
    <chartFormat chart="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C01BC01-121A-4D4B-B48C-E15A4BEABAD7}" name="PivotTable3" cacheId="51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7">
  <location ref="A10:B14" firstHeaderRow="1" firstDataRow="1" firstDataCol="1"/>
  <pivotFields count="8">
    <pivotField compact="0" outline="0" showAll="0"/>
    <pivotField compact="0" numFmtId="164" outline="0" showAll="0"/>
    <pivotField compact="0" numFmtId="164" outline="0" showAll="0"/>
    <pivotField compact="0" outline="0" showAll="0"/>
    <pivotField axis="axisRow" compact="0" outline="0" showAll="0">
      <items count="4">
        <item x="0"/>
        <item x="2"/>
        <item x="1"/>
        <item t="default"/>
      </items>
    </pivotField>
    <pivotField compact="0" outline="0" showAll="0"/>
    <pivotField compact="0" outline="0" showAll="0"/>
    <pivotField dataField="1" compact="0" outline="0" showAll="0"/>
  </pivotFields>
  <rowFields count="1">
    <field x="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on_time_flag" fld="7" subtotal="average" baseField="0" baseItem="0" numFmtId="165"/>
  </dataFields>
  <formats count="2">
    <format dxfId="9">
      <pivotArea outline="0" fieldPosition="0">
        <references count="1">
          <reference field="4294967294" count="1" selected="0">
            <x v="0"/>
          </reference>
        </references>
      </pivotArea>
    </format>
    <format dxfId="10">
      <pivotArea dataOnly="0" labelOnly="1" outline="0" fieldPosition="0">
        <references count="1">
          <reference field="4294967294" count="1">
            <x v="0"/>
          </reference>
        </references>
      </pivotArea>
    </format>
  </formats>
  <chartFormats count="4">
    <chartFormat chart="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A3D32A5-0C10-442E-97F8-453363143036}" name="Table2" displayName="Table2" ref="A1:H549" totalsRowShown="0">
  <autoFilter ref="A1:H549" xr:uid="{4A3D32A5-0C10-442E-97F8-453363143036}"/>
  <tableColumns count="8">
    <tableColumn id="1" xr3:uid="{0863520D-F099-4B73-AE81-07DE390A255A}" name="order_id"/>
    <tableColumn id="2" xr3:uid="{1B7DE436-E152-4AEE-A515-3C2CEAFE9641}" name=" order_date" dataDxfId="8"/>
    <tableColumn id="3" xr3:uid="{4075E637-881C-48EF-BAFA-20DBB9F3A031}" name=" ship_date" dataDxfId="7"/>
    <tableColumn id="4" xr3:uid="{DAD2CD67-A398-43DF-9516-73ADC8BD7C22}" name=" delivery_time_days "/>
    <tableColumn id="5" xr3:uid="{0C5218CB-8AE7-4E6A-AB08-37D9D0DCB192}" name="warehouse "/>
    <tableColumn id="6" xr3:uid="{B945D388-ED6D-42DE-A849-929046300CE8}" name="carrier"/>
    <tableColumn id="7" xr3:uid="{05DBD0E0-0E47-4301-8CDE-2D6F04B0C60A}" name="on_time"/>
    <tableColumn id="12" xr3:uid="{CDF98D78-8037-41B4-BFEE-C49E6E0A871A}" name="on_time_flag" dataDxfId="6">
      <calculatedColumnFormula>IF(Table2[[#This Row],[on_time]]="Yes",1,0)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0F55876-17AA-4DD8-949E-43A502F81C6F}" name="Table1" displayName="Table1" ref="A1:D7" totalsRowShown="0">
  <autoFilter ref="A1:D7" xr:uid="{80F55876-17AA-4DD8-949E-43A502F81C6F}"/>
  <tableColumns count="4">
    <tableColumn id="1" xr3:uid="{9A44599C-A470-4017-BBEA-4A01D113F19D}" name="Date"/>
    <tableColumn id="2" xr3:uid="{190D2AB6-1939-48B7-B2FB-3193395A1586}" name="Issue"/>
    <tableColumn id="3" xr3:uid="{400404C7-5440-4293-A2DC-623870E7F17E}" name="Action Taken"/>
    <tableColumn id="4" xr3:uid="{DC98DDBC-B0A3-4221-B5EE-0648D8CB5AF0}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5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8.xml"/><Relationship Id="rId2" Type="http://schemas.openxmlformats.org/officeDocument/2006/relationships/pivotTable" Target="../pivotTables/pivotTable7.xml"/><Relationship Id="rId1" Type="http://schemas.openxmlformats.org/officeDocument/2006/relationships/pivotTable" Target="../pivotTables/pivot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3E2C7C-2DB6-4D3F-97EB-2A204937642B}">
  <dimension ref="A1:H549"/>
  <sheetViews>
    <sheetView workbookViewId="0"/>
  </sheetViews>
  <sheetFormatPr defaultRowHeight="15"/>
  <cols>
    <col min="1" max="1" width="11.140625" bestFit="1" customWidth="1"/>
    <col min="2" max="2" width="13.85546875" style="1" bestFit="1" customWidth="1"/>
    <col min="3" max="3" width="12.7109375" style="2" bestFit="1" customWidth="1"/>
    <col min="4" max="4" width="22.140625" bestFit="1" customWidth="1"/>
    <col min="5" max="5" width="13.85546875" bestFit="1" customWidth="1"/>
    <col min="6" max="6" width="9.28515625" bestFit="1" customWidth="1"/>
    <col min="7" max="7" width="10.85546875" bestFit="1" customWidth="1"/>
    <col min="8" max="8" width="15.28515625" bestFit="1" customWidth="1"/>
  </cols>
  <sheetData>
    <row r="1" spans="1:8">
      <c r="A1" t="s">
        <v>0</v>
      </c>
      <c r="B1" s="2" t="s">
        <v>1</v>
      </c>
      <c r="C1" s="2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 s="2">
        <v>45476</v>
      </c>
      <c r="C2" s="2">
        <v>45477</v>
      </c>
      <c r="D2">
        <v>1</v>
      </c>
      <c r="E2" t="s">
        <v>8</v>
      </c>
      <c r="F2" t="s">
        <v>9</v>
      </c>
      <c r="G2" t="s">
        <v>10</v>
      </c>
      <c r="H2">
        <f>IF(Table2[[#This Row],[on_time]]="Yes",1,0)</f>
        <v>1</v>
      </c>
    </row>
    <row r="3" spans="1:8">
      <c r="A3">
        <v>2</v>
      </c>
      <c r="B3" s="2">
        <v>45485</v>
      </c>
      <c r="C3" s="2">
        <v>45489</v>
      </c>
      <c r="D3">
        <v>4</v>
      </c>
      <c r="E3" t="s">
        <v>11</v>
      </c>
      <c r="F3" t="s">
        <v>12</v>
      </c>
      <c r="G3" t="s">
        <v>13</v>
      </c>
      <c r="H3">
        <f>IF(Table2[[#This Row],[on_time]]="Yes",1,0)</f>
        <v>0</v>
      </c>
    </row>
    <row r="4" spans="1:8">
      <c r="A4">
        <v>3</v>
      </c>
      <c r="B4" s="2">
        <v>45500</v>
      </c>
      <c r="C4" s="2">
        <v>45505</v>
      </c>
      <c r="D4">
        <v>5</v>
      </c>
      <c r="E4" t="s">
        <v>11</v>
      </c>
      <c r="F4" t="s">
        <v>12</v>
      </c>
      <c r="G4" t="s">
        <v>13</v>
      </c>
      <c r="H4">
        <f>IF(Table2[[#This Row],[on_time]]="Yes",1,0)</f>
        <v>0</v>
      </c>
    </row>
    <row r="5" spans="1:8">
      <c r="A5">
        <v>4</v>
      </c>
      <c r="B5" s="2">
        <v>45491</v>
      </c>
      <c r="C5" s="2">
        <v>45494</v>
      </c>
      <c r="D5">
        <v>3</v>
      </c>
      <c r="E5" t="s">
        <v>14</v>
      </c>
      <c r="F5" t="s">
        <v>9</v>
      </c>
      <c r="G5" t="s">
        <v>10</v>
      </c>
      <c r="H5">
        <f>IF(Table2[[#This Row],[on_time]]="Yes",1,0)</f>
        <v>1</v>
      </c>
    </row>
    <row r="6" spans="1:8">
      <c r="A6">
        <v>5</v>
      </c>
      <c r="B6" s="2">
        <v>45486</v>
      </c>
      <c r="C6" s="2">
        <v>45491</v>
      </c>
      <c r="D6">
        <v>5</v>
      </c>
      <c r="E6" t="s">
        <v>14</v>
      </c>
      <c r="F6" t="s">
        <v>12</v>
      </c>
      <c r="G6" t="s">
        <v>13</v>
      </c>
      <c r="H6">
        <f>IF(Table2[[#This Row],[on_time]]="Yes",1,0)</f>
        <v>0</v>
      </c>
    </row>
    <row r="7" spans="1:8">
      <c r="A7">
        <v>6</v>
      </c>
      <c r="B7" s="2">
        <v>45502</v>
      </c>
      <c r="C7" s="2">
        <v>45506</v>
      </c>
      <c r="D7">
        <v>4</v>
      </c>
      <c r="E7" t="s">
        <v>8</v>
      </c>
      <c r="F7" t="s">
        <v>9</v>
      </c>
      <c r="G7" t="s">
        <v>13</v>
      </c>
      <c r="H7">
        <f>IF(Table2[[#This Row],[on_time]]="Yes",1,0)</f>
        <v>0</v>
      </c>
    </row>
    <row r="8" spans="1:8">
      <c r="A8">
        <v>7</v>
      </c>
      <c r="B8" s="2">
        <v>45480</v>
      </c>
      <c r="C8" s="2">
        <v>45485</v>
      </c>
      <c r="D8">
        <v>5</v>
      </c>
      <c r="E8" t="s">
        <v>8</v>
      </c>
      <c r="F8" t="s">
        <v>15</v>
      </c>
      <c r="G8" t="s">
        <v>13</v>
      </c>
      <c r="H8">
        <f>IF(Table2[[#This Row],[on_time]]="Yes",1,0)</f>
        <v>0</v>
      </c>
    </row>
    <row r="9" spans="1:8">
      <c r="A9">
        <v>8</v>
      </c>
      <c r="B9" s="2">
        <v>45500</v>
      </c>
      <c r="C9" s="2">
        <v>45502</v>
      </c>
      <c r="D9">
        <v>2</v>
      </c>
      <c r="E9" t="s">
        <v>8</v>
      </c>
      <c r="F9" t="s">
        <v>9</v>
      </c>
      <c r="G9" t="s">
        <v>10</v>
      </c>
      <c r="H9">
        <f>IF(Table2[[#This Row],[on_time]]="Yes",1,0)</f>
        <v>1</v>
      </c>
    </row>
    <row r="10" spans="1:8">
      <c r="A10">
        <v>9</v>
      </c>
      <c r="B10" s="2">
        <v>45498</v>
      </c>
      <c r="C10" s="2">
        <v>45500</v>
      </c>
      <c r="D10">
        <v>2</v>
      </c>
      <c r="E10" t="s">
        <v>8</v>
      </c>
      <c r="F10" t="s">
        <v>15</v>
      </c>
      <c r="G10" t="s">
        <v>10</v>
      </c>
      <c r="H10">
        <f>IF(Table2[[#This Row],[on_time]]="Yes",1,0)</f>
        <v>1</v>
      </c>
    </row>
    <row r="11" spans="1:8">
      <c r="A11">
        <v>10</v>
      </c>
      <c r="B11" s="2">
        <v>45492</v>
      </c>
      <c r="C11" s="2">
        <v>45497</v>
      </c>
      <c r="D11">
        <v>5</v>
      </c>
      <c r="E11" t="s">
        <v>8</v>
      </c>
      <c r="F11" t="s">
        <v>12</v>
      </c>
      <c r="G11" t="s">
        <v>13</v>
      </c>
      <c r="H11">
        <f>IF(Table2[[#This Row],[on_time]]="Yes",1,0)</f>
        <v>0</v>
      </c>
    </row>
    <row r="12" spans="1:8">
      <c r="A12">
        <v>11</v>
      </c>
      <c r="B12" s="2">
        <v>45487</v>
      </c>
      <c r="C12" s="2">
        <v>45490</v>
      </c>
      <c r="D12">
        <v>3</v>
      </c>
      <c r="E12" t="s">
        <v>8</v>
      </c>
      <c r="F12" t="s">
        <v>15</v>
      </c>
      <c r="G12" t="s">
        <v>10</v>
      </c>
      <c r="H12">
        <f>IF(Table2[[#This Row],[on_time]]="Yes",1,0)</f>
        <v>1</v>
      </c>
    </row>
    <row r="13" spans="1:8">
      <c r="A13">
        <v>12</v>
      </c>
      <c r="B13" s="2">
        <v>45481</v>
      </c>
      <c r="C13" s="2">
        <v>45486</v>
      </c>
      <c r="D13">
        <v>5</v>
      </c>
      <c r="E13" t="s">
        <v>14</v>
      </c>
      <c r="F13" t="s">
        <v>15</v>
      </c>
      <c r="G13" t="s">
        <v>13</v>
      </c>
      <c r="H13">
        <f>IF(Table2[[#This Row],[on_time]]="Yes",1,0)</f>
        <v>0</v>
      </c>
    </row>
    <row r="14" spans="1:8">
      <c r="A14">
        <v>13</v>
      </c>
      <c r="B14" s="2">
        <v>45478</v>
      </c>
      <c r="C14" s="2">
        <v>45482</v>
      </c>
      <c r="D14">
        <v>4</v>
      </c>
      <c r="E14" t="s">
        <v>8</v>
      </c>
      <c r="F14" t="s">
        <v>9</v>
      </c>
      <c r="G14" t="s">
        <v>13</v>
      </c>
      <c r="H14">
        <f>IF(Table2[[#This Row],[on_time]]="Yes",1,0)</f>
        <v>0</v>
      </c>
    </row>
    <row r="15" spans="1:8">
      <c r="A15">
        <v>14</v>
      </c>
      <c r="B15" s="2">
        <v>45500</v>
      </c>
      <c r="C15" s="2">
        <v>45501</v>
      </c>
      <c r="D15">
        <v>1</v>
      </c>
      <c r="E15" t="s">
        <v>11</v>
      </c>
      <c r="F15" t="s">
        <v>12</v>
      </c>
      <c r="G15" t="s">
        <v>10</v>
      </c>
      <c r="H15">
        <f>IF(Table2[[#This Row],[on_time]]="Yes",1,0)</f>
        <v>1</v>
      </c>
    </row>
    <row r="16" spans="1:8">
      <c r="A16">
        <v>15</v>
      </c>
      <c r="B16" s="2">
        <v>45494</v>
      </c>
      <c r="C16" s="2">
        <v>45496</v>
      </c>
      <c r="D16">
        <v>2</v>
      </c>
      <c r="E16" t="s">
        <v>11</v>
      </c>
      <c r="F16" t="s">
        <v>15</v>
      </c>
      <c r="G16" t="s">
        <v>10</v>
      </c>
      <c r="H16">
        <f>IF(Table2[[#This Row],[on_time]]="Yes",1,0)</f>
        <v>1</v>
      </c>
    </row>
    <row r="17" spans="1:8">
      <c r="A17">
        <v>16</v>
      </c>
      <c r="B17" s="2">
        <v>45503</v>
      </c>
      <c r="C17" s="2">
        <v>45507</v>
      </c>
      <c r="D17">
        <v>4</v>
      </c>
      <c r="E17" t="s">
        <v>8</v>
      </c>
      <c r="F17" t="s">
        <v>9</v>
      </c>
      <c r="G17" t="s">
        <v>13</v>
      </c>
      <c r="H17">
        <f>IF(Table2[[#This Row],[on_time]]="Yes",1,0)</f>
        <v>0</v>
      </c>
    </row>
    <row r="18" spans="1:8">
      <c r="A18">
        <v>17</v>
      </c>
      <c r="B18" s="2">
        <v>45502</v>
      </c>
      <c r="C18" s="2">
        <v>45503</v>
      </c>
      <c r="D18">
        <v>1</v>
      </c>
      <c r="E18" t="s">
        <v>8</v>
      </c>
      <c r="F18" t="s">
        <v>9</v>
      </c>
      <c r="G18" t="s">
        <v>10</v>
      </c>
      <c r="H18">
        <f>IF(Table2[[#This Row],[on_time]]="Yes",1,0)</f>
        <v>1</v>
      </c>
    </row>
    <row r="19" spans="1:8">
      <c r="A19">
        <v>18</v>
      </c>
      <c r="B19" s="2">
        <v>45476</v>
      </c>
      <c r="C19" s="2">
        <v>45477</v>
      </c>
      <c r="D19">
        <v>1</v>
      </c>
      <c r="E19" t="s">
        <v>11</v>
      </c>
      <c r="F19" t="s">
        <v>15</v>
      </c>
      <c r="G19" t="s">
        <v>10</v>
      </c>
      <c r="H19">
        <f>IF(Table2[[#This Row],[on_time]]="Yes",1,0)</f>
        <v>1</v>
      </c>
    </row>
    <row r="20" spans="1:8">
      <c r="A20">
        <v>19</v>
      </c>
      <c r="B20" s="2">
        <v>45490</v>
      </c>
      <c r="C20" s="2">
        <v>45493</v>
      </c>
      <c r="D20">
        <v>3</v>
      </c>
      <c r="E20" t="s">
        <v>14</v>
      </c>
      <c r="F20" t="s">
        <v>12</v>
      </c>
      <c r="G20" t="s">
        <v>10</v>
      </c>
      <c r="H20">
        <f>IF(Table2[[#This Row],[on_time]]="Yes",1,0)</f>
        <v>1</v>
      </c>
    </row>
    <row r="21" spans="1:8">
      <c r="A21">
        <v>20</v>
      </c>
      <c r="B21" s="2">
        <v>45503</v>
      </c>
      <c r="C21" s="2">
        <v>45504</v>
      </c>
      <c r="D21">
        <v>1</v>
      </c>
      <c r="E21" t="s">
        <v>8</v>
      </c>
      <c r="F21" t="s">
        <v>12</v>
      </c>
      <c r="G21" t="s">
        <v>10</v>
      </c>
      <c r="H21">
        <f>IF(Table2[[#This Row],[on_time]]="Yes",1,0)</f>
        <v>1</v>
      </c>
    </row>
    <row r="22" spans="1:8">
      <c r="A22">
        <v>21</v>
      </c>
      <c r="B22" s="2">
        <v>45497</v>
      </c>
      <c r="C22" s="2">
        <v>45498</v>
      </c>
      <c r="D22">
        <v>1</v>
      </c>
      <c r="E22" t="s">
        <v>8</v>
      </c>
      <c r="F22" t="s">
        <v>9</v>
      </c>
      <c r="G22" t="s">
        <v>10</v>
      </c>
      <c r="H22">
        <f>IF(Table2[[#This Row],[on_time]]="Yes",1,0)</f>
        <v>1</v>
      </c>
    </row>
    <row r="23" spans="1:8">
      <c r="A23">
        <v>22</v>
      </c>
      <c r="B23" s="2">
        <v>45483</v>
      </c>
      <c r="C23" s="2">
        <v>45484</v>
      </c>
      <c r="D23">
        <v>1</v>
      </c>
      <c r="E23" t="s">
        <v>11</v>
      </c>
      <c r="F23" t="s">
        <v>15</v>
      </c>
      <c r="G23" t="s">
        <v>10</v>
      </c>
      <c r="H23">
        <f>IF(Table2[[#This Row],[on_time]]="Yes",1,0)</f>
        <v>1</v>
      </c>
    </row>
    <row r="24" spans="1:8">
      <c r="A24">
        <v>23</v>
      </c>
      <c r="B24" s="2">
        <v>45502</v>
      </c>
      <c r="C24" s="2">
        <v>45507</v>
      </c>
      <c r="D24">
        <v>5</v>
      </c>
      <c r="E24" t="s">
        <v>11</v>
      </c>
      <c r="F24" t="s">
        <v>12</v>
      </c>
      <c r="G24" t="s">
        <v>13</v>
      </c>
      <c r="H24">
        <f>IF(Table2[[#This Row],[on_time]]="Yes",1,0)</f>
        <v>0</v>
      </c>
    </row>
    <row r="25" spans="1:8">
      <c r="A25">
        <v>24</v>
      </c>
      <c r="B25" s="2">
        <v>45498</v>
      </c>
      <c r="C25" s="2">
        <v>45500</v>
      </c>
      <c r="D25">
        <v>2</v>
      </c>
      <c r="E25" t="s">
        <v>11</v>
      </c>
      <c r="F25" t="s">
        <v>12</v>
      </c>
      <c r="G25" t="s">
        <v>10</v>
      </c>
      <c r="H25">
        <f>IF(Table2[[#This Row],[on_time]]="Yes",1,0)</f>
        <v>1</v>
      </c>
    </row>
    <row r="26" spans="1:8">
      <c r="A26">
        <v>25</v>
      </c>
      <c r="B26" s="2">
        <v>45503</v>
      </c>
      <c r="C26" s="2">
        <v>45505</v>
      </c>
      <c r="D26">
        <v>2</v>
      </c>
      <c r="E26" t="s">
        <v>14</v>
      </c>
      <c r="F26" t="s">
        <v>12</v>
      </c>
      <c r="G26" t="s">
        <v>10</v>
      </c>
      <c r="H26">
        <f>IF(Table2[[#This Row],[on_time]]="Yes",1,0)</f>
        <v>1</v>
      </c>
    </row>
    <row r="27" spans="1:8">
      <c r="A27">
        <v>26</v>
      </c>
      <c r="B27" s="2">
        <v>45483</v>
      </c>
      <c r="C27" s="2">
        <v>45484</v>
      </c>
      <c r="D27">
        <v>1</v>
      </c>
      <c r="E27" t="s">
        <v>8</v>
      </c>
      <c r="F27" t="s">
        <v>12</v>
      </c>
      <c r="G27" t="s">
        <v>10</v>
      </c>
      <c r="H27">
        <f>IF(Table2[[#This Row],[on_time]]="Yes",1,0)</f>
        <v>1</v>
      </c>
    </row>
    <row r="28" spans="1:8">
      <c r="A28">
        <v>27</v>
      </c>
      <c r="B28" s="2">
        <v>45504</v>
      </c>
      <c r="C28" s="2">
        <v>45507</v>
      </c>
      <c r="D28">
        <v>3</v>
      </c>
      <c r="E28" t="s">
        <v>14</v>
      </c>
      <c r="F28" t="s">
        <v>15</v>
      </c>
      <c r="G28" t="s">
        <v>10</v>
      </c>
      <c r="H28">
        <f>IF(Table2[[#This Row],[on_time]]="Yes",1,0)</f>
        <v>1</v>
      </c>
    </row>
    <row r="29" spans="1:8">
      <c r="A29">
        <v>28</v>
      </c>
      <c r="B29" s="2">
        <v>45481</v>
      </c>
      <c r="C29" s="2">
        <v>45486</v>
      </c>
      <c r="D29">
        <v>5</v>
      </c>
      <c r="E29" t="s">
        <v>11</v>
      </c>
      <c r="F29" t="s">
        <v>9</v>
      </c>
      <c r="G29" t="s">
        <v>13</v>
      </c>
      <c r="H29">
        <f>IF(Table2[[#This Row],[on_time]]="Yes",1,0)</f>
        <v>0</v>
      </c>
    </row>
    <row r="30" spans="1:8">
      <c r="A30">
        <v>29</v>
      </c>
      <c r="B30" s="2">
        <v>45488</v>
      </c>
      <c r="C30" s="2">
        <v>45492</v>
      </c>
      <c r="D30">
        <v>4</v>
      </c>
      <c r="E30" t="s">
        <v>11</v>
      </c>
      <c r="F30" t="s">
        <v>15</v>
      </c>
      <c r="G30" t="s">
        <v>13</v>
      </c>
      <c r="H30">
        <f>IF(Table2[[#This Row],[on_time]]="Yes",1,0)</f>
        <v>0</v>
      </c>
    </row>
    <row r="31" spans="1:8">
      <c r="A31">
        <v>30</v>
      </c>
      <c r="B31" s="2">
        <v>45487</v>
      </c>
      <c r="C31" s="2">
        <v>45491</v>
      </c>
      <c r="D31">
        <v>4</v>
      </c>
      <c r="E31" t="s">
        <v>14</v>
      </c>
      <c r="F31" t="s">
        <v>15</v>
      </c>
      <c r="G31" t="s">
        <v>13</v>
      </c>
      <c r="H31">
        <f>IF(Table2[[#This Row],[on_time]]="Yes",1,0)</f>
        <v>0</v>
      </c>
    </row>
    <row r="32" spans="1:8">
      <c r="A32">
        <v>31</v>
      </c>
      <c r="B32" s="2">
        <v>45487</v>
      </c>
      <c r="C32" s="2">
        <v>45489</v>
      </c>
      <c r="D32">
        <v>2</v>
      </c>
      <c r="E32" t="s">
        <v>8</v>
      </c>
      <c r="F32" t="s">
        <v>15</v>
      </c>
      <c r="G32" t="s">
        <v>10</v>
      </c>
      <c r="H32">
        <f>IF(Table2[[#This Row],[on_time]]="Yes",1,0)</f>
        <v>1</v>
      </c>
    </row>
    <row r="33" spans="1:8">
      <c r="A33">
        <v>32</v>
      </c>
      <c r="B33" s="2">
        <v>45485</v>
      </c>
      <c r="C33" s="2">
        <v>45489</v>
      </c>
      <c r="D33">
        <v>4</v>
      </c>
      <c r="E33" t="s">
        <v>8</v>
      </c>
      <c r="F33" t="s">
        <v>9</v>
      </c>
      <c r="G33" t="s">
        <v>13</v>
      </c>
      <c r="H33">
        <f>IF(Table2[[#This Row],[on_time]]="Yes",1,0)</f>
        <v>0</v>
      </c>
    </row>
    <row r="34" spans="1:8">
      <c r="A34">
        <v>33</v>
      </c>
      <c r="B34" s="2">
        <v>45484</v>
      </c>
      <c r="C34" s="2">
        <v>45485</v>
      </c>
      <c r="D34">
        <v>1</v>
      </c>
      <c r="E34" t="s">
        <v>11</v>
      </c>
      <c r="F34" t="s">
        <v>9</v>
      </c>
      <c r="G34" t="s">
        <v>10</v>
      </c>
      <c r="H34">
        <f>IF(Table2[[#This Row],[on_time]]="Yes",1,0)</f>
        <v>1</v>
      </c>
    </row>
    <row r="35" spans="1:8">
      <c r="A35">
        <v>34</v>
      </c>
      <c r="B35" s="2">
        <v>45489</v>
      </c>
      <c r="C35" s="2">
        <v>45490</v>
      </c>
      <c r="D35">
        <v>1</v>
      </c>
      <c r="E35" t="s">
        <v>14</v>
      </c>
      <c r="F35" t="s">
        <v>12</v>
      </c>
      <c r="G35" t="s">
        <v>10</v>
      </c>
      <c r="H35">
        <f>IF(Table2[[#This Row],[on_time]]="Yes",1,0)</f>
        <v>1</v>
      </c>
    </row>
    <row r="36" spans="1:8">
      <c r="A36">
        <v>35</v>
      </c>
      <c r="B36" s="2">
        <v>45493</v>
      </c>
      <c r="C36" s="2">
        <v>45494</v>
      </c>
      <c r="D36">
        <v>1</v>
      </c>
      <c r="E36" t="s">
        <v>11</v>
      </c>
      <c r="F36" t="s">
        <v>9</v>
      </c>
      <c r="G36" t="s">
        <v>10</v>
      </c>
      <c r="H36">
        <f>IF(Table2[[#This Row],[on_time]]="Yes",1,0)</f>
        <v>1</v>
      </c>
    </row>
    <row r="37" spans="1:8">
      <c r="A37">
        <v>36</v>
      </c>
      <c r="B37" s="2">
        <v>45496</v>
      </c>
      <c r="C37" s="2">
        <v>45499</v>
      </c>
      <c r="D37">
        <v>3</v>
      </c>
      <c r="E37" t="s">
        <v>11</v>
      </c>
      <c r="F37" t="s">
        <v>12</v>
      </c>
      <c r="G37" t="s">
        <v>10</v>
      </c>
      <c r="H37">
        <f>IF(Table2[[#This Row],[on_time]]="Yes",1,0)</f>
        <v>1</v>
      </c>
    </row>
    <row r="38" spans="1:8">
      <c r="A38">
        <v>37</v>
      </c>
      <c r="B38" s="2">
        <v>45488</v>
      </c>
      <c r="C38" s="2">
        <v>45493</v>
      </c>
      <c r="D38">
        <v>5</v>
      </c>
      <c r="E38" t="s">
        <v>14</v>
      </c>
      <c r="F38" t="s">
        <v>15</v>
      </c>
      <c r="G38" t="s">
        <v>13</v>
      </c>
      <c r="H38">
        <f>IF(Table2[[#This Row],[on_time]]="Yes",1,0)</f>
        <v>0</v>
      </c>
    </row>
    <row r="39" spans="1:8">
      <c r="A39">
        <v>38</v>
      </c>
      <c r="B39" s="2">
        <v>45490</v>
      </c>
      <c r="C39" s="2">
        <v>45494</v>
      </c>
      <c r="D39">
        <v>4</v>
      </c>
      <c r="E39" t="s">
        <v>11</v>
      </c>
      <c r="F39" t="s">
        <v>15</v>
      </c>
      <c r="G39" t="s">
        <v>13</v>
      </c>
      <c r="H39">
        <f>IF(Table2[[#This Row],[on_time]]="Yes",1,0)</f>
        <v>0</v>
      </c>
    </row>
    <row r="40" spans="1:8">
      <c r="A40">
        <v>39</v>
      </c>
      <c r="B40" s="2">
        <v>45474</v>
      </c>
      <c r="C40" s="2">
        <v>45476</v>
      </c>
      <c r="D40">
        <v>2</v>
      </c>
      <c r="E40" t="s">
        <v>14</v>
      </c>
      <c r="F40" t="s">
        <v>15</v>
      </c>
      <c r="G40" t="s">
        <v>10</v>
      </c>
      <c r="H40">
        <f>IF(Table2[[#This Row],[on_time]]="Yes",1,0)</f>
        <v>1</v>
      </c>
    </row>
    <row r="41" spans="1:8">
      <c r="A41">
        <v>40</v>
      </c>
      <c r="B41" s="2">
        <v>45497</v>
      </c>
      <c r="C41" s="2">
        <v>45498</v>
      </c>
      <c r="D41">
        <v>1</v>
      </c>
      <c r="E41" t="s">
        <v>14</v>
      </c>
      <c r="F41" t="s">
        <v>9</v>
      </c>
      <c r="G41" t="s">
        <v>10</v>
      </c>
      <c r="H41">
        <f>IF(Table2[[#This Row],[on_time]]="Yes",1,0)</f>
        <v>1</v>
      </c>
    </row>
    <row r="42" spans="1:8">
      <c r="A42">
        <v>41</v>
      </c>
      <c r="B42" s="2">
        <v>45497</v>
      </c>
      <c r="C42" s="2">
        <v>45500</v>
      </c>
      <c r="D42">
        <v>3</v>
      </c>
      <c r="E42" t="s">
        <v>8</v>
      </c>
      <c r="F42" t="s">
        <v>9</v>
      </c>
      <c r="G42" t="s">
        <v>10</v>
      </c>
      <c r="H42">
        <f>IF(Table2[[#This Row],[on_time]]="Yes",1,0)</f>
        <v>1</v>
      </c>
    </row>
    <row r="43" spans="1:8">
      <c r="A43">
        <v>42</v>
      </c>
      <c r="B43" s="2">
        <v>45477</v>
      </c>
      <c r="C43" s="2">
        <v>45478</v>
      </c>
      <c r="D43">
        <v>1</v>
      </c>
      <c r="E43" t="s">
        <v>14</v>
      </c>
      <c r="F43" t="s">
        <v>9</v>
      </c>
      <c r="G43" t="s">
        <v>10</v>
      </c>
      <c r="H43">
        <f>IF(Table2[[#This Row],[on_time]]="Yes",1,0)</f>
        <v>1</v>
      </c>
    </row>
    <row r="44" spans="1:8">
      <c r="A44">
        <v>43</v>
      </c>
      <c r="B44" s="2">
        <v>45479</v>
      </c>
      <c r="C44" s="2">
        <v>45482</v>
      </c>
      <c r="D44">
        <v>3</v>
      </c>
      <c r="E44" t="s">
        <v>11</v>
      </c>
      <c r="F44" t="s">
        <v>9</v>
      </c>
      <c r="G44" t="s">
        <v>10</v>
      </c>
      <c r="H44">
        <f>IF(Table2[[#This Row],[on_time]]="Yes",1,0)</f>
        <v>1</v>
      </c>
    </row>
    <row r="45" spans="1:8">
      <c r="A45">
        <v>44</v>
      </c>
      <c r="B45" s="2">
        <v>45494</v>
      </c>
      <c r="C45" s="2">
        <v>45497</v>
      </c>
      <c r="D45">
        <v>3</v>
      </c>
      <c r="E45" t="s">
        <v>8</v>
      </c>
      <c r="F45" t="s">
        <v>15</v>
      </c>
      <c r="G45" t="s">
        <v>10</v>
      </c>
      <c r="H45">
        <f>IF(Table2[[#This Row],[on_time]]="Yes",1,0)</f>
        <v>1</v>
      </c>
    </row>
    <row r="46" spans="1:8">
      <c r="A46">
        <v>45</v>
      </c>
      <c r="B46" s="2">
        <v>45504</v>
      </c>
      <c r="C46" s="2">
        <v>45508</v>
      </c>
      <c r="D46">
        <v>4</v>
      </c>
      <c r="E46" t="s">
        <v>8</v>
      </c>
      <c r="F46" t="s">
        <v>15</v>
      </c>
      <c r="G46" t="s">
        <v>13</v>
      </c>
      <c r="H46">
        <f>IF(Table2[[#This Row],[on_time]]="Yes",1,0)</f>
        <v>0</v>
      </c>
    </row>
    <row r="47" spans="1:8">
      <c r="A47">
        <v>46</v>
      </c>
      <c r="B47" s="2">
        <v>45486</v>
      </c>
      <c r="C47" s="2">
        <v>45489</v>
      </c>
      <c r="D47">
        <v>3</v>
      </c>
      <c r="E47" t="s">
        <v>8</v>
      </c>
      <c r="F47" t="s">
        <v>15</v>
      </c>
      <c r="G47" t="s">
        <v>10</v>
      </c>
      <c r="H47">
        <f>IF(Table2[[#This Row],[on_time]]="Yes",1,0)</f>
        <v>1</v>
      </c>
    </row>
    <row r="48" spans="1:8">
      <c r="A48">
        <v>47</v>
      </c>
      <c r="B48" s="2">
        <v>45501</v>
      </c>
      <c r="C48" s="2">
        <v>45502</v>
      </c>
      <c r="D48">
        <v>1</v>
      </c>
      <c r="E48" t="s">
        <v>11</v>
      </c>
      <c r="F48" t="s">
        <v>15</v>
      </c>
      <c r="G48" t="s">
        <v>10</v>
      </c>
      <c r="H48">
        <f>IF(Table2[[#This Row],[on_time]]="Yes",1,0)</f>
        <v>1</v>
      </c>
    </row>
    <row r="49" spans="1:8">
      <c r="A49">
        <v>48</v>
      </c>
      <c r="B49" s="2">
        <v>45486</v>
      </c>
      <c r="C49" s="2">
        <v>45490</v>
      </c>
      <c r="D49">
        <v>4</v>
      </c>
      <c r="E49" t="s">
        <v>11</v>
      </c>
      <c r="F49" t="s">
        <v>15</v>
      </c>
      <c r="G49" t="s">
        <v>13</v>
      </c>
      <c r="H49">
        <f>IF(Table2[[#This Row],[on_time]]="Yes",1,0)</f>
        <v>0</v>
      </c>
    </row>
    <row r="50" spans="1:8">
      <c r="A50">
        <v>49</v>
      </c>
      <c r="B50" s="2">
        <v>45476</v>
      </c>
      <c r="C50" s="2">
        <v>45479</v>
      </c>
      <c r="D50">
        <v>3</v>
      </c>
      <c r="E50" t="s">
        <v>11</v>
      </c>
      <c r="F50" t="s">
        <v>9</v>
      </c>
      <c r="G50" t="s">
        <v>10</v>
      </c>
      <c r="H50">
        <f>IF(Table2[[#This Row],[on_time]]="Yes",1,0)</f>
        <v>1</v>
      </c>
    </row>
    <row r="51" spans="1:8">
      <c r="A51">
        <v>50</v>
      </c>
      <c r="B51" s="2">
        <v>45504</v>
      </c>
      <c r="C51" s="2">
        <v>45509</v>
      </c>
      <c r="D51">
        <v>5</v>
      </c>
      <c r="E51" t="s">
        <v>14</v>
      </c>
      <c r="F51" t="s">
        <v>12</v>
      </c>
      <c r="G51" t="s">
        <v>13</v>
      </c>
      <c r="H51">
        <f>IF(Table2[[#This Row],[on_time]]="Yes",1,0)</f>
        <v>0</v>
      </c>
    </row>
    <row r="52" spans="1:8">
      <c r="A52">
        <v>51</v>
      </c>
      <c r="B52" s="2">
        <v>45495</v>
      </c>
      <c r="C52" s="2">
        <v>45498</v>
      </c>
      <c r="D52">
        <v>3</v>
      </c>
      <c r="E52" t="s">
        <v>14</v>
      </c>
      <c r="F52" t="s">
        <v>12</v>
      </c>
      <c r="G52" t="s">
        <v>10</v>
      </c>
      <c r="H52">
        <f>IF(Table2[[#This Row],[on_time]]="Yes",1,0)</f>
        <v>1</v>
      </c>
    </row>
    <row r="53" spans="1:8">
      <c r="A53">
        <v>52</v>
      </c>
      <c r="B53" s="2">
        <v>45494</v>
      </c>
      <c r="C53" s="2">
        <v>45498</v>
      </c>
      <c r="D53">
        <v>4</v>
      </c>
      <c r="E53" t="s">
        <v>11</v>
      </c>
      <c r="F53" t="s">
        <v>15</v>
      </c>
      <c r="G53" t="s">
        <v>13</v>
      </c>
      <c r="H53">
        <f>IF(Table2[[#This Row],[on_time]]="Yes",1,0)</f>
        <v>0</v>
      </c>
    </row>
    <row r="54" spans="1:8">
      <c r="A54">
        <v>53</v>
      </c>
      <c r="B54" s="2">
        <v>45497</v>
      </c>
      <c r="C54" s="2">
        <v>45498</v>
      </c>
      <c r="D54">
        <v>1</v>
      </c>
      <c r="E54" t="s">
        <v>11</v>
      </c>
      <c r="F54" t="s">
        <v>15</v>
      </c>
      <c r="G54" t="s">
        <v>10</v>
      </c>
      <c r="H54">
        <f>IF(Table2[[#This Row],[on_time]]="Yes",1,0)</f>
        <v>1</v>
      </c>
    </row>
    <row r="55" spans="1:8">
      <c r="A55">
        <v>54</v>
      </c>
      <c r="B55" s="2">
        <v>45480</v>
      </c>
      <c r="C55" s="2">
        <v>45481</v>
      </c>
      <c r="D55">
        <v>1</v>
      </c>
      <c r="E55" t="s">
        <v>14</v>
      </c>
      <c r="F55" t="s">
        <v>12</v>
      </c>
      <c r="G55" t="s">
        <v>10</v>
      </c>
      <c r="H55">
        <f>IF(Table2[[#This Row],[on_time]]="Yes",1,0)</f>
        <v>1</v>
      </c>
    </row>
    <row r="56" spans="1:8">
      <c r="A56">
        <v>55</v>
      </c>
      <c r="B56" s="2">
        <v>45478</v>
      </c>
      <c r="C56" s="2">
        <v>45483</v>
      </c>
      <c r="D56">
        <v>5</v>
      </c>
      <c r="E56" t="s">
        <v>14</v>
      </c>
      <c r="F56" t="s">
        <v>12</v>
      </c>
      <c r="G56" t="s">
        <v>13</v>
      </c>
      <c r="H56">
        <f>IF(Table2[[#This Row],[on_time]]="Yes",1,0)</f>
        <v>0</v>
      </c>
    </row>
    <row r="57" spans="1:8">
      <c r="A57">
        <v>56</v>
      </c>
      <c r="B57" s="2">
        <v>45477</v>
      </c>
      <c r="C57" s="2">
        <v>45482</v>
      </c>
      <c r="D57">
        <v>5</v>
      </c>
      <c r="E57" t="s">
        <v>14</v>
      </c>
      <c r="F57" t="s">
        <v>15</v>
      </c>
      <c r="G57" t="s">
        <v>13</v>
      </c>
      <c r="H57">
        <f>IF(Table2[[#This Row],[on_time]]="Yes",1,0)</f>
        <v>0</v>
      </c>
    </row>
    <row r="58" spans="1:8">
      <c r="A58">
        <v>57</v>
      </c>
      <c r="B58" s="2">
        <v>45479</v>
      </c>
      <c r="C58" s="2">
        <v>45480</v>
      </c>
      <c r="D58">
        <v>1</v>
      </c>
      <c r="E58" t="s">
        <v>11</v>
      </c>
      <c r="F58" t="s">
        <v>9</v>
      </c>
      <c r="G58" t="s">
        <v>10</v>
      </c>
      <c r="H58">
        <f>IF(Table2[[#This Row],[on_time]]="Yes",1,0)</f>
        <v>1</v>
      </c>
    </row>
    <row r="59" spans="1:8">
      <c r="A59">
        <v>58</v>
      </c>
      <c r="B59" s="2">
        <v>45483</v>
      </c>
      <c r="C59" s="2">
        <v>45488</v>
      </c>
      <c r="D59">
        <v>5</v>
      </c>
      <c r="E59" t="s">
        <v>14</v>
      </c>
      <c r="F59" t="s">
        <v>9</v>
      </c>
      <c r="G59" t="s">
        <v>13</v>
      </c>
      <c r="H59">
        <f>IF(Table2[[#This Row],[on_time]]="Yes",1,0)</f>
        <v>0</v>
      </c>
    </row>
    <row r="60" spans="1:8">
      <c r="A60">
        <v>59</v>
      </c>
      <c r="B60" s="2">
        <v>45490</v>
      </c>
      <c r="C60" s="2">
        <v>45495</v>
      </c>
      <c r="D60">
        <v>5</v>
      </c>
      <c r="E60" t="s">
        <v>11</v>
      </c>
      <c r="F60" t="s">
        <v>12</v>
      </c>
      <c r="G60" t="s">
        <v>13</v>
      </c>
      <c r="H60">
        <f>IF(Table2[[#This Row],[on_time]]="Yes",1,0)</f>
        <v>0</v>
      </c>
    </row>
    <row r="61" spans="1:8">
      <c r="A61">
        <v>60</v>
      </c>
      <c r="B61" s="2">
        <v>45476</v>
      </c>
      <c r="C61" s="2">
        <v>45477</v>
      </c>
      <c r="D61">
        <v>1</v>
      </c>
      <c r="E61" t="s">
        <v>14</v>
      </c>
      <c r="F61" t="s">
        <v>15</v>
      </c>
      <c r="G61" t="s">
        <v>10</v>
      </c>
      <c r="H61">
        <f>IF(Table2[[#This Row],[on_time]]="Yes",1,0)</f>
        <v>1</v>
      </c>
    </row>
    <row r="62" spans="1:8">
      <c r="A62">
        <v>61</v>
      </c>
      <c r="B62" s="2">
        <v>45484</v>
      </c>
      <c r="C62" s="2">
        <v>45485</v>
      </c>
      <c r="D62">
        <v>1</v>
      </c>
      <c r="E62" t="s">
        <v>8</v>
      </c>
      <c r="F62" t="s">
        <v>12</v>
      </c>
      <c r="G62" t="s">
        <v>10</v>
      </c>
      <c r="H62">
        <f>IF(Table2[[#This Row],[on_time]]="Yes",1,0)</f>
        <v>1</v>
      </c>
    </row>
    <row r="63" spans="1:8">
      <c r="A63">
        <v>62</v>
      </c>
      <c r="B63" s="2">
        <v>45503</v>
      </c>
      <c r="C63" s="2">
        <v>45507</v>
      </c>
      <c r="D63">
        <v>4</v>
      </c>
      <c r="E63" t="s">
        <v>14</v>
      </c>
      <c r="F63" t="s">
        <v>9</v>
      </c>
      <c r="G63" t="s">
        <v>13</v>
      </c>
      <c r="H63">
        <f>IF(Table2[[#This Row],[on_time]]="Yes",1,0)</f>
        <v>0</v>
      </c>
    </row>
    <row r="64" spans="1:8">
      <c r="A64">
        <v>63</v>
      </c>
      <c r="B64" s="2">
        <v>45481</v>
      </c>
      <c r="C64" s="2">
        <v>45485</v>
      </c>
      <c r="D64">
        <v>4</v>
      </c>
      <c r="E64" t="s">
        <v>11</v>
      </c>
      <c r="F64" t="s">
        <v>9</v>
      </c>
      <c r="G64" t="s">
        <v>13</v>
      </c>
      <c r="H64">
        <f>IF(Table2[[#This Row],[on_time]]="Yes",1,0)</f>
        <v>0</v>
      </c>
    </row>
    <row r="65" spans="1:8">
      <c r="A65">
        <v>64</v>
      </c>
      <c r="B65" s="2">
        <v>45476</v>
      </c>
      <c r="C65" s="2">
        <v>45481</v>
      </c>
      <c r="D65">
        <v>5</v>
      </c>
      <c r="E65" t="s">
        <v>8</v>
      </c>
      <c r="F65" t="s">
        <v>9</v>
      </c>
      <c r="G65" t="s">
        <v>13</v>
      </c>
      <c r="H65">
        <f>IF(Table2[[#This Row],[on_time]]="Yes",1,0)</f>
        <v>0</v>
      </c>
    </row>
    <row r="66" spans="1:8">
      <c r="A66">
        <v>65</v>
      </c>
      <c r="B66" s="2">
        <v>45498</v>
      </c>
      <c r="C66" s="2">
        <v>45501</v>
      </c>
      <c r="D66">
        <v>3</v>
      </c>
      <c r="E66" t="s">
        <v>14</v>
      </c>
      <c r="F66" t="s">
        <v>9</v>
      </c>
      <c r="G66" t="s">
        <v>10</v>
      </c>
      <c r="H66">
        <f>IF(Table2[[#This Row],[on_time]]="Yes",1,0)</f>
        <v>1</v>
      </c>
    </row>
    <row r="67" spans="1:8">
      <c r="A67">
        <v>66</v>
      </c>
      <c r="B67" s="2">
        <v>45498</v>
      </c>
      <c r="C67" s="2">
        <v>45502</v>
      </c>
      <c r="D67">
        <v>4</v>
      </c>
      <c r="E67" t="s">
        <v>8</v>
      </c>
      <c r="F67" t="s">
        <v>9</v>
      </c>
      <c r="G67" t="s">
        <v>13</v>
      </c>
      <c r="H67">
        <f>IF(Table2[[#This Row],[on_time]]="Yes",1,0)</f>
        <v>0</v>
      </c>
    </row>
    <row r="68" spans="1:8">
      <c r="A68">
        <v>67</v>
      </c>
      <c r="B68" s="2">
        <v>45501</v>
      </c>
      <c r="C68" s="2">
        <v>45505</v>
      </c>
      <c r="D68">
        <v>4</v>
      </c>
      <c r="E68" t="s">
        <v>11</v>
      </c>
      <c r="F68" t="s">
        <v>12</v>
      </c>
      <c r="G68" t="s">
        <v>13</v>
      </c>
      <c r="H68">
        <f>IF(Table2[[#This Row],[on_time]]="Yes",1,0)</f>
        <v>0</v>
      </c>
    </row>
    <row r="69" spans="1:8">
      <c r="A69">
        <v>68</v>
      </c>
      <c r="B69" s="2">
        <v>45478</v>
      </c>
      <c r="C69" s="2">
        <v>45479</v>
      </c>
      <c r="D69">
        <v>1</v>
      </c>
      <c r="E69" t="s">
        <v>11</v>
      </c>
      <c r="F69" t="s">
        <v>15</v>
      </c>
      <c r="G69" t="s">
        <v>10</v>
      </c>
      <c r="H69">
        <f>IF(Table2[[#This Row],[on_time]]="Yes",1,0)</f>
        <v>1</v>
      </c>
    </row>
    <row r="70" spans="1:8">
      <c r="A70">
        <v>69</v>
      </c>
      <c r="B70" s="2">
        <v>45494</v>
      </c>
      <c r="C70" s="2">
        <v>45498</v>
      </c>
      <c r="D70">
        <v>4</v>
      </c>
      <c r="E70" t="s">
        <v>14</v>
      </c>
      <c r="F70" t="s">
        <v>15</v>
      </c>
      <c r="G70" t="s">
        <v>13</v>
      </c>
      <c r="H70">
        <f>IF(Table2[[#This Row],[on_time]]="Yes",1,0)</f>
        <v>0</v>
      </c>
    </row>
    <row r="71" spans="1:8">
      <c r="A71">
        <v>70</v>
      </c>
      <c r="B71" s="2">
        <v>45486</v>
      </c>
      <c r="C71" s="2">
        <v>45491</v>
      </c>
      <c r="D71">
        <v>5</v>
      </c>
      <c r="E71" t="s">
        <v>8</v>
      </c>
      <c r="F71" t="s">
        <v>15</v>
      </c>
      <c r="G71" t="s">
        <v>13</v>
      </c>
      <c r="H71">
        <f>IF(Table2[[#This Row],[on_time]]="Yes",1,0)</f>
        <v>0</v>
      </c>
    </row>
    <row r="72" spans="1:8">
      <c r="A72">
        <v>71</v>
      </c>
      <c r="B72" s="2">
        <v>45484</v>
      </c>
      <c r="C72" s="2">
        <v>45489</v>
      </c>
      <c r="D72">
        <v>5</v>
      </c>
      <c r="E72" t="s">
        <v>11</v>
      </c>
      <c r="F72" t="s">
        <v>15</v>
      </c>
      <c r="G72" t="s">
        <v>13</v>
      </c>
      <c r="H72">
        <f>IF(Table2[[#This Row],[on_time]]="Yes",1,0)</f>
        <v>0</v>
      </c>
    </row>
    <row r="73" spans="1:8">
      <c r="A73">
        <v>72</v>
      </c>
      <c r="B73" s="2">
        <v>45495</v>
      </c>
      <c r="C73" s="2">
        <v>45497</v>
      </c>
      <c r="D73">
        <v>2</v>
      </c>
      <c r="E73" t="s">
        <v>8</v>
      </c>
      <c r="F73" t="s">
        <v>9</v>
      </c>
      <c r="G73" t="s">
        <v>10</v>
      </c>
      <c r="H73">
        <f>IF(Table2[[#This Row],[on_time]]="Yes",1,0)</f>
        <v>1</v>
      </c>
    </row>
    <row r="74" spans="1:8">
      <c r="A74">
        <v>73</v>
      </c>
      <c r="B74" s="2">
        <v>45480</v>
      </c>
      <c r="C74" s="2">
        <v>45482</v>
      </c>
      <c r="D74">
        <v>2</v>
      </c>
      <c r="E74" t="s">
        <v>11</v>
      </c>
      <c r="F74" t="s">
        <v>12</v>
      </c>
      <c r="G74" t="s">
        <v>10</v>
      </c>
      <c r="H74">
        <f>IF(Table2[[#This Row],[on_time]]="Yes",1,0)</f>
        <v>1</v>
      </c>
    </row>
    <row r="75" spans="1:8">
      <c r="A75">
        <v>74</v>
      </c>
      <c r="B75" s="2">
        <v>45496</v>
      </c>
      <c r="C75" s="2">
        <v>45497</v>
      </c>
      <c r="D75">
        <v>1</v>
      </c>
      <c r="E75" t="s">
        <v>8</v>
      </c>
      <c r="F75" t="s">
        <v>15</v>
      </c>
      <c r="G75" t="s">
        <v>10</v>
      </c>
      <c r="H75">
        <f>IF(Table2[[#This Row],[on_time]]="Yes",1,0)</f>
        <v>1</v>
      </c>
    </row>
    <row r="76" spans="1:8">
      <c r="A76">
        <v>75</v>
      </c>
      <c r="B76" s="2">
        <v>45492</v>
      </c>
      <c r="C76" s="2">
        <v>45495</v>
      </c>
      <c r="D76">
        <v>3</v>
      </c>
      <c r="E76" t="s">
        <v>8</v>
      </c>
      <c r="F76" t="s">
        <v>9</v>
      </c>
      <c r="G76" t="s">
        <v>10</v>
      </c>
      <c r="H76">
        <f>IF(Table2[[#This Row],[on_time]]="Yes",1,0)</f>
        <v>1</v>
      </c>
    </row>
    <row r="77" spans="1:8">
      <c r="A77">
        <v>76</v>
      </c>
      <c r="B77" s="2">
        <v>45478</v>
      </c>
      <c r="C77" s="2">
        <v>45480</v>
      </c>
      <c r="D77">
        <v>2</v>
      </c>
      <c r="E77" t="s">
        <v>8</v>
      </c>
      <c r="F77" t="s">
        <v>12</v>
      </c>
      <c r="G77" t="s">
        <v>10</v>
      </c>
      <c r="H77">
        <f>IF(Table2[[#This Row],[on_time]]="Yes",1,0)</f>
        <v>1</v>
      </c>
    </row>
    <row r="78" spans="1:8">
      <c r="A78">
        <v>77</v>
      </c>
      <c r="B78" s="2">
        <v>45477</v>
      </c>
      <c r="C78" s="2">
        <v>45481</v>
      </c>
      <c r="D78">
        <v>4</v>
      </c>
      <c r="E78" t="s">
        <v>11</v>
      </c>
      <c r="F78" t="s">
        <v>12</v>
      </c>
      <c r="G78" t="s">
        <v>13</v>
      </c>
      <c r="H78">
        <f>IF(Table2[[#This Row],[on_time]]="Yes",1,0)</f>
        <v>0</v>
      </c>
    </row>
    <row r="79" spans="1:8">
      <c r="A79">
        <v>78</v>
      </c>
      <c r="B79" s="2">
        <v>45487</v>
      </c>
      <c r="C79" s="2">
        <v>45492</v>
      </c>
      <c r="D79">
        <v>5</v>
      </c>
      <c r="E79" t="s">
        <v>14</v>
      </c>
      <c r="F79" t="s">
        <v>12</v>
      </c>
      <c r="G79" t="s">
        <v>13</v>
      </c>
      <c r="H79">
        <f>IF(Table2[[#This Row],[on_time]]="Yes",1,0)</f>
        <v>0</v>
      </c>
    </row>
    <row r="80" spans="1:8">
      <c r="A80">
        <v>79</v>
      </c>
      <c r="B80" s="2">
        <v>45502</v>
      </c>
      <c r="C80" s="2">
        <v>45503</v>
      </c>
      <c r="D80">
        <v>1</v>
      </c>
      <c r="E80" t="s">
        <v>11</v>
      </c>
      <c r="F80" t="s">
        <v>12</v>
      </c>
      <c r="G80" t="s">
        <v>10</v>
      </c>
      <c r="H80">
        <f>IF(Table2[[#This Row],[on_time]]="Yes",1,0)</f>
        <v>1</v>
      </c>
    </row>
    <row r="81" spans="1:8">
      <c r="A81">
        <v>80</v>
      </c>
      <c r="B81" s="2">
        <v>45478</v>
      </c>
      <c r="C81" s="2">
        <v>45480</v>
      </c>
      <c r="D81">
        <v>2</v>
      </c>
      <c r="E81" t="s">
        <v>8</v>
      </c>
      <c r="F81" t="s">
        <v>12</v>
      </c>
      <c r="G81" t="s">
        <v>10</v>
      </c>
      <c r="H81">
        <f>IF(Table2[[#This Row],[on_time]]="Yes",1,0)</f>
        <v>1</v>
      </c>
    </row>
    <row r="82" spans="1:8">
      <c r="A82">
        <v>81</v>
      </c>
      <c r="B82" s="2">
        <v>45479</v>
      </c>
      <c r="C82" s="2">
        <v>45481</v>
      </c>
      <c r="D82">
        <v>2</v>
      </c>
      <c r="E82" t="s">
        <v>11</v>
      </c>
      <c r="F82" t="s">
        <v>15</v>
      </c>
      <c r="G82" t="s">
        <v>10</v>
      </c>
      <c r="H82">
        <f>IF(Table2[[#This Row],[on_time]]="Yes",1,0)</f>
        <v>1</v>
      </c>
    </row>
    <row r="83" spans="1:8">
      <c r="A83">
        <v>82</v>
      </c>
      <c r="B83" s="2">
        <v>45480</v>
      </c>
      <c r="C83" s="2">
        <v>45482</v>
      </c>
      <c r="D83">
        <v>2</v>
      </c>
      <c r="E83" t="s">
        <v>8</v>
      </c>
      <c r="F83" t="s">
        <v>15</v>
      </c>
      <c r="G83" t="s">
        <v>10</v>
      </c>
      <c r="H83">
        <f>IF(Table2[[#This Row],[on_time]]="Yes",1,0)</f>
        <v>1</v>
      </c>
    </row>
    <row r="84" spans="1:8">
      <c r="A84">
        <v>83</v>
      </c>
      <c r="B84" s="2">
        <v>45501</v>
      </c>
      <c r="C84" s="2">
        <v>45502</v>
      </c>
      <c r="D84">
        <v>1</v>
      </c>
      <c r="E84" t="s">
        <v>8</v>
      </c>
      <c r="F84" t="s">
        <v>15</v>
      </c>
      <c r="G84" t="s">
        <v>10</v>
      </c>
      <c r="H84">
        <f>IF(Table2[[#This Row],[on_time]]="Yes",1,0)</f>
        <v>1</v>
      </c>
    </row>
    <row r="85" spans="1:8">
      <c r="A85">
        <v>84</v>
      </c>
      <c r="B85" s="2">
        <v>45474</v>
      </c>
      <c r="C85" s="2">
        <v>45478</v>
      </c>
      <c r="D85">
        <v>4</v>
      </c>
      <c r="E85" t="s">
        <v>8</v>
      </c>
      <c r="F85" t="s">
        <v>12</v>
      </c>
      <c r="G85" t="s">
        <v>13</v>
      </c>
      <c r="H85">
        <f>IF(Table2[[#This Row],[on_time]]="Yes",1,0)</f>
        <v>0</v>
      </c>
    </row>
    <row r="86" spans="1:8">
      <c r="A86">
        <v>85</v>
      </c>
      <c r="B86" s="2">
        <v>45475</v>
      </c>
      <c r="C86" s="2">
        <v>45478</v>
      </c>
      <c r="D86">
        <v>3</v>
      </c>
      <c r="E86" t="s">
        <v>14</v>
      </c>
      <c r="F86" t="s">
        <v>15</v>
      </c>
      <c r="G86" t="s">
        <v>10</v>
      </c>
      <c r="H86">
        <f>IF(Table2[[#This Row],[on_time]]="Yes",1,0)</f>
        <v>1</v>
      </c>
    </row>
    <row r="87" spans="1:8">
      <c r="A87">
        <v>86</v>
      </c>
      <c r="B87" s="2">
        <v>45503</v>
      </c>
      <c r="C87" s="2">
        <v>45506</v>
      </c>
      <c r="D87">
        <v>3</v>
      </c>
      <c r="E87" t="s">
        <v>11</v>
      </c>
      <c r="F87" t="s">
        <v>12</v>
      </c>
      <c r="G87" t="s">
        <v>10</v>
      </c>
      <c r="H87">
        <f>IF(Table2[[#This Row],[on_time]]="Yes",1,0)</f>
        <v>1</v>
      </c>
    </row>
    <row r="88" spans="1:8">
      <c r="A88">
        <v>87</v>
      </c>
      <c r="B88" s="2">
        <v>45485</v>
      </c>
      <c r="C88" s="2">
        <v>45488</v>
      </c>
      <c r="D88">
        <v>3</v>
      </c>
      <c r="E88" t="s">
        <v>8</v>
      </c>
      <c r="F88" t="s">
        <v>12</v>
      </c>
      <c r="G88" t="s">
        <v>10</v>
      </c>
      <c r="H88">
        <f>IF(Table2[[#This Row],[on_time]]="Yes",1,0)</f>
        <v>1</v>
      </c>
    </row>
    <row r="89" spans="1:8">
      <c r="A89">
        <v>88</v>
      </c>
      <c r="B89" s="2">
        <v>45497</v>
      </c>
      <c r="C89" s="2">
        <v>45499</v>
      </c>
      <c r="D89">
        <v>2</v>
      </c>
      <c r="E89" t="s">
        <v>11</v>
      </c>
      <c r="F89" t="s">
        <v>15</v>
      </c>
      <c r="G89" t="s">
        <v>10</v>
      </c>
      <c r="H89">
        <f>IF(Table2[[#This Row],[on_time]]="Yes",1,0)</f>
        <v>1</v>
      </c>
    </row>
    <row r="90" spans="1:8">
      <c r="A90">
        <v>89</v>
      </c>
      <c r="B90" s="2">
        <v>45500</v>
      </c>
      <c r="C90" s="2">
        <v>45501</v>
      </c>
      <c r="D90">
        <v>1</v>
      </c>
      <c r="E90" t="s">
        <v>8</v>
      </c>
      <c r="F90" t="s">
        <v>9</v>
      </c>
      <c r="G90" t="s">
        <v>10</v>
      </c>
      <c r="H90">
        <f>IF(Table2[[#This Row],[on_time]]="Yes",1,0)</f>
        <v>1</v>
      </c>
    </row>
    <row r="91" spans="1:8">
      <c r="A91">
        <v>90</v>
      </c>
      <c r="B91" s="2">
        <v>45493</v>
      </c>
      <c r="C91" s="2">
        <v>45497</v>
      </c>
      <c r="D91">
        <v>4</v>
      </c>
      <c r="E91" t="s">
        <v>8</v>
      </c>
      <c r="F91" t="s">
        <v>9</v>
      </c>
      <c r="G91" t="s">
        <v>13</v>
      </c>
      <c r="H91">
        <f>IF(Table2[[#This Row],[on_time]]="Yes",1,0)</f>
        <v>0</v>
      </c>
    </row>
    <row r="92" spans="1:8">
      <c r="A92">
        <v>91</v>
      </c>
      <c r="B92" s="2">
        <v>45499</v>
      </c>
      <c r="C92" s="2">
        <v>45504</v>
      </c>
      <c r="D92">
        <v>5</v>
      </c>
      <c r="E92" t="s">
        <v>11</v>
      </c>
      <c r="F92" t="s">
        <v>12</v>
      </c>
      <c r="G92" t="s">
        <v>13</v>
      </c>
      <c r="H92">
        <f>IF(Table2[[#This Row],[on_time]]="Yes",1,0)</f>
        <v>0</v>
      </c>
    </row>
    <row r="93" spans="1:8">
      <c r="A93">
        <v>92</v>
      </c>
      <c r="B93" s="2">
        <v>45492</v>
      </c>
      <c r="C93" s="2">
        <v>45494</v>
      </c>
      <c r="D93">
        <v>2</v>
      </c>
      <c r="E93" t="s">
        <v>8</v>
      </c>
      <c r="F93" t="s">
        <v>15</v>
      </c>
      <c r="G93" t="s">
        <v>10</v>
      </c>
      <c r="H93">
        <f>IF(Table2[[#This Row],[on_time]]="Yes",1,0)</f>
        <v>1</v>
      </c>
    </row>
    <row r="94" spans="1:8">
      <c r="A94">
        <v>93</v>
      </c>
      <c r="B94" s="2">
        <v>45501</v>
      </c>
      <c r="C94" s="2">
        <v>45505</v>
      </c>
      <c r="D94">
        <v>4</v>
      </c>
      <c r="E94" t="s">
        <v>11</v>
      </c>
      <c r="F94" t="s">
        <v>9</v>
      </c>
      <c r="G94" t="s">
        <v>13</v>
      </c>
      <c r="H94">
        <f>IF(Table2[[#This Row],[on_time]]="Yes",1,0)</f>
        <v>0</v>
      </c>
    </row>
    <row r="95" spans="1:8">
      <c r="A95">
        <v>94</v>
      </c>
      <c r="B95" s="2">
        <v>45484</v>
      </c>
      <c r="C95" s="2">
        <v>45485</v>
      </c>
      <c r="D95">
        <v>1</v>
      </c>
      <c r="E95" t="s">
        <v>8</v>
      </c>
      <c r="F95" t="s">
        <v>12</v>
      </c>
      <c r="G95" t="s">
        <v>10</v>
      </c>
      <c r="H95">
        <f>IF(Table2[[#This Row],[on_time]]="Yes",1,0)</f>
        <v>1</v>
      </c>
    </row>
    <row r="96" spans="1:8">
      <c r="A96">
        <v>95</v>
      </c>
      <c r="B96" s="2">
        <v>45480</v>
      </c>
      <c r="C96" s="2">
        <v>45482</v>
      </c>
      <c r="D96">
        <v>2</v>
      </c>
      <c r="E96" t="s">
        <v>14</v>
      </c>
      <c r="F96" t="s">
        <v>9</v>
      </c>
      <c r="G96" t="s">
        <v>10</v>
      </c>
      <c r="H96">
        <f>IF(Table2[[#This Row],[on_time]]="Yes",1,0)</f>
        <v>1</v>
      </c>
    </row>
    <row r="97" spans="1:8">
      <c r="A97">
        <v>96</v>
      </c>
      <c r="B97" s="2">
        <v>45498</v>
      </c>
      <c r="C97" s="2">
        <v>45500</v>
      </c>
      <c r="D97">
        <v>2</v>
      </c>
      <c r="E97" t="s">
        <v>8</v>
      </c>
      <c r="F97" t="s">
        <v>12</v>
      </c>
      <c r="G97" t="s">
        <v>10</v>
      </c>
      <c r="H97">
        <f>IF(Table2[[#This Row],[on_time]]="Yes",1,0)</f>
        <v>1</v>
      </c>
    </row>
    <row r="98" spans="1:8">
      <c r="A98">
        <v>97</v>
      </c>
      <c r="B98" s="2">
        <v>45485</v>
      </c>
      <c r="C98" s="2">
        <v>45489</v>
      </c>
      <c r="D98">
        <v>4</v>
      </c>
      <c r="E98" t="s">
        <v>8</v>
      </c>
      <c r="F98" t="s">
        <v>12</v>
      </c>
      <c r="G98" t="s">
        <v>13</v>
      </c>
      <c r="H98">
        <f>IF(Table2[[#This Row],[on_time]]="Yes",1,0)</f>
        <v>0</v>
      </c>
    </row>
    <row r="99" spans="1:8">
      <c r="A99">
        <v>98</v>
      </c>
      <c r="B99" s="2">
        <v>45482</v>
      </c>
      <c r="C99" s="2">
        <v>45486</v>
      </c>
      <c r="D99">
        <v>4</v>
      </c>
      <c r="E99" t="s">
        <v>14</v>
      </c>
      <c r="F99" t="s">
        <v>12</v>
      </c>
      <c r="G99" t="s">
        <v>13</v>
      </c>
      <c r="H99">
        <f>IF(Table2[[#This Row],[on_time]]="Yes",1,0)</f>
        <v>0</v>
      </c>
    </row>
    <row r="100" spans="1:8">
      <c r="A100">
        <v>99</v>
      </c>
      <c r="B100" s="2">
        <v>45476</v>
      </c>
      <c r="C100" s="2">
        <v>45480</v>
      </c>
      <c r="D100">
        <v>4</v>
      </c>
      <c r="E100" t="s">
        <v>11</v>
      </c>
      <c r="F100" t="s">
        <v>9</v>
      </c>
      <c r="G100" t="s">
        <v>13</v>
      </c>
      <c r="H100">
        <f>IF(Table2[[#This Row],[on_time]]="Yes",1,0)</f>
        <v>0</v>
      </c>
    </row>
    <row r="101" spans="1:8">
      <c r="A101">
        <v>100</v>
      </c>
      <c r="B101" s="2">
        <v>45483</v>
      </c>
      <c r="C101" s="2">
        <v>45485</v>
      </c>
      <c r="D101">
        <v>2</v>
      </c>
      <c r="E101" t="s">
        <v>14</v>
      </c>
      <c r="F101" t="s">
        <v>12</v>
      </c>
      <c r="G101" t="s">
        <v>10</v>
      </c>
      <c r="H101">
        <f>IF(Table2[[#This Row],[on_time]]="Yes",1,0)</f>
        <v>1</v>
      </c>
    </row>
    <row r="102" spans="1:8">
      <c r="A102">
        <v>101</v>
      </c>
      <c r="B102" s="2">
        <v>45496</v>
      </c>
      <c r="C102" s="2">
        <v>45497</v>
      </c>
      <c r="D102">
        <v>1</v>
      </c>
      <c r="E102" t="s">
        <v>11</v>
      </c>
      <c r="F102" t="s">
        <v>12</v>
      </c>
      <c r="G102" t="s">
        <v>10</v>
      </c>
      <c r="H102">
        <f>IF(Table2[[#This Row],[on_time]]="Yes",1,0)</f>
        <v>1</v>
      </c>
    </row>
    <row r="103" spans="1:8">
      <c r="A103">
        <v>102</v>
      </c>
      <c r="B103" s="2">
        <v>45489</v>
      </c>
      <c r="C103" s="2">
        <v>45492</v>
      </c>
      <c r="D103">
        <v>3</v>
      </c>
      <c r="E103" t="s">
        <v>14</v>
      </c>
      <c r="F103" t="s">
        <v>9</v>
      </c>
      <c r="G103" t="s">
        <v>10</v>
      </c>
      <c r="H103">
        <f>IF(Table2[[#This Row],[on_time]]="Yes",1,0)</f>
        <v>1</v>
      </c>
    </row>
    <row r="104" spans="1:8">
      <c r="A104">
        <v>103</v>
      </c>
      <c r="B104" s="2">
        <v>45488</v>
      </c>
      <c r="C104" s="2">
        <v>45491</v>
      </c>
      <c r="D104">
        <v>3</v>
      </c>
      <c r="E104" t="s">
        <v>14</v>
      </c>
      <c r="F104" t="s">
        <v>12</v>
      </c>
      <c r="G104" t="s">
        <v>10</v>
      </c>
      <c r="H104">
        <f>IF(Table2[[#This Row],[on_time]]="Yes",1,0)</f>
        <v>1</v>
      </c>
    </row>
    <row r="105" spans="1:8">
      <c r="A105">
        <v>104</v>
      </c>
      <c r="B105" s="2">
        <v>45491</v>
      </c>
      <c r="C105" s="2">
        <v>45492</v>
      </c>
      <c r="D105">
        <v>1</v>
      </c>
      <c r="E105" t="s">
        <v>14</v>
      </c>
      <c r="F105" t="s">
        <v>12</v>
      </c>
      <c r="G105" t="s">
        <v>10</v>
      </c>
      <c r="H105">
        <f>IF(Table2[[#This Row],[on_time]]="Yes",1,0)</f>
        <v>1</v>
      </c>
    </row>
    <row r="106" spans="1:8">
      <c r="A106">
        <v>105</v>
      </c>
      <c r="B106" s="2">
        <v>45491</v>
      </c>
      <c r="C106" s="2">
        <v>45492</v>
      </c>
      <c r="D106">
        <v>1</v>
      </c>
      <c r="E106" t="s">
        <v>8</v>
      </c>
      <c r="F106" t="s">
        <v>9</v>
      </c>
      <c r="G106" t="s">
        <v>10</v>
      </c>
      <c r="H106">
        <f>IF(Table2[[#This Row],[on_time]]="Yes",1,0)</f>
        <v>1</v>
      </c>
    </row>
    <row r="107" spans="1:8">
      <c r="A107">
        <v>106</v>
      </c>
      <c r="B107" s="2">
        <v>45478</v>
      </c>
      <c r="C107" s="2">
        <v>45479</v>
      </c>
      <c r="D107">
        <v>1</v>
      </c>
      <c r="E107" t="s">
        <v>14</v>
      </c>
      <c r="F107" t="s">
        <v>9</v>
      </c>
      <c r="G107" t="s">
        <v>10</v>
      </c>
      <c r="H107">
        <f>IF(Table2[[#This Row],[on_time]]="Yes",1,0)</f>
        <v>1</v>
      </c>
    </row>
    <row r="108" spans="1:8">
      <c r="A108">
        <v>107</v>
      </c>
      <c r="B108" s="2">
        <v>45502</v>
      </c>
      <c r="C108" s="2">
        <v>45504</v>
      </c>
      <c r="D108">
        <v>2</v>
      </c>
      <c r="E108" t="s">
        <v>11</v>
      </c>
      <c r="F108" t="s">
        <v>15</v>
      </c>
      <c r="G108" t="s">
        <v>10</v>
      </c>
      <c r="H108">
        <f>IF(Table2[[#This Row],[on_time]]="Yes",1,0)</f>
        <v>1</v>
      </c>
    </row>
    <row r="109" spans="1:8">
      <c r="A109">
        <v>108</v>
      </c>
      <c r="B109" s="2">
        <v>45478</v>
      </c>
      <c r="C109" s="2">
        <v>45479</v>
      </c>
      <c r="D109">
        <v>1</v>
      </c>
      <c r="E109" t="s">
        <v>14</v>
      </c>
      <c r="F109" t="s">
        <v>12</v>
      </c>
      <c r="G109" t="s">
        <v>10</v>
      </c>
      <c r="H109">
        <f>IF(Table2[[#This Row],[on_time]]="Yes",1,0)</f>
        <v>1</v>
      </c>
    </row>
    <row r="110" spans="1:8">
      <c r="A110">
        <v>109</v>
      </c>
      <c r="B110" s="2">
        <v>45499</v>
      </c>
      <c r="C110" s="2">
        <v>45503</v>
      </c>
      <c r="D110">
        <v>4</v>
      </c>
      <c r="E110" t="s">
        <v>11</v>
      </c>
      <c r="F110" t="s">
        <v>9</v>
      </c>
      <c r="G110" t="s">
        <v>13</v>
      </c>
      <c r="H110">
        <f>IF(Table2[[#This Row],[on_time]]="Yes",1,0)</f>
        <v>0</v>
      </c>
    </row>
    <row r="111" spans="1:8">
      <c r="A111">
        <v>110</v>
      </c>
      <c r="B111" s="2">
        <v>45490</v>
      </c>
      <c r="C111" s="2">
        <v>45494</v>
      </c>
      <c r="D111">
        <v>4</v>
      </c>
      <c r="E111" t="s">
        <v>11</v>
      </c>
      <c r="F111" t="s">
        <v>9</v>
      </c>
      <c r="G111" t="s">
        <v>13</v>
      </c>
      <c r="H111">
        <f>IF(Table2[[#This Row],[on_time]]="Yes",1,0)</f>
        <v>0</v>
      </c>
    </row>
    <row r="112" spans="1:8">
      <c r="A112">
        <v>111</v>
      </c>
      <c r="B112" s="2">
        <v>45474</v>
      </c>
      <c r="C112" s="2">
        <v>45477</v>
      </c>
      <c r="D112">
        <v>3</v>
      </c>
      <c r="E112" t="s">
        <v>11</v>
      </c>
      <c r="F112" t="s">
        <v>9</v>
      </c>
      <c r="G112" t="s">
        <v>10</v>
      </c>
      <c r="H112">
        <f>IF(Table2[[#This Row],[on_time]]="Yes",1,0)</f>
        <v>1</v>
      </c>
    </row>
    <row r="113" spans="1:8">
      <c r="A113">
        <v>112</v>
      </c>
      <c r="B113" s="2">
        <v>45474</v>
      </c>
      <c r="C113" s="2">
        <v>45478</v>
      </c>
      <c r="D113">
        <v>4</v>
      </c>
      <c r="E113" t="s">
        <v>8</v>
      </c>
      <c r="F113" t="s">
        <v>15</v>
      </c>
      <c r="G113" t="s">
        <v>13</v>
      </c>
      <c r="H113">
        <f>IF(Table2[[#This Row],[on_time]]="Yes",1,0)</f>
        <v>0</v>
      </c>
    </row>
    <row r="114" spans="1:8">
      <c r="A114">
        <v>113</v>
      </c>
      <c r="B114" s="2">
        <v>45490</v>
      </c>
      <c r="C114" s="2">
        <v>45494</v>
      </c>
      <c r="D114">
        <v>4</v>
      </c>
      <c r="E114" t="s">
        <v>14</v>
      </c>
      <c r="F114" t="s">
        <v>15</v>
      </c>
      <c r="G114" t="s">
        <v>13</v>
      </c>
      <c r="H114">
        <f>IF(Table2[[#This Row],[on_time]]="Yes",1,0)</f>
        <v>0</v>
      </c>
    </row>
    <row r="115" spans="1:8">
      <c r="A115">
        <v>114</v>
      </c>
      <c r="B115" s="2">
        <v>45501</v>
      </c>
      <c r="C115" s="2">
        <v>45502</v>
      </c>
      <c r="D115">
        <v>1</v>
      </c>
      <c r="E115" t="s">
        <v>8</v>
      </c>
      <c r="F115" t="s">
        <v>12</v>
      </c>
      <c r="G115" t="s">
        <v>10</v>
      </c>
      <c r="H115">
        <f>IF(Table2[[#This Row],[on_time]]="Yes",1,0)</f>
        <v>1</v>
      </c>
    </row>
    <row r="116" spans="1:8">
      <c r="A116">
        <v>115</v>
      </c>
      <c r="B116" s="2">
        <v>45493</v>
      </c>
      <c r="C116" s="2">
        <v>45498</v>
      </c>
      <c r="D116">
        <v>5</v>
      </c>
      <c r="E116" t="s">
        <v>11</v>
      </c>
      <c r="F116" t="s">
        <v>15</v>
      </c>
      <c r="G116" t="s">
        <v>13</v>
      </c>
      <c r="H116">
        <f>IF(Table2[[#This Row],[on_time]]="Yes",1,0)</f>
        <v>0</v>
      </c>
    </row>
    <row r="117" spans="1:8">
      <c r="A117">
        <v>116</v>
      </c>
      <c r="B117" s="2">
        <v>45491</v>
      </c>
      <c r="C117" s="2">
        <v>45492</v>
      </c>
      <c r="D117">
        <v>1</v>
      </c>
      <c r="E117" t="s">
        <v>14</v>
      </c>
      <c r="F117" t="s">
        <v>9</v>
      </c>
      <c r="G117" t="s">
        <v>10</v>
      </c>
      <c r="H117">
        <f>IF(Table2[[#This Row],[on_time]]="Yes",1,0)</f>
        <v>1</v>
      </c>
    </row>
    <row r="118" spans="1:8">
      <c r="A118">
        <v>117</v>
      </c>
      <c r="B118" s="2">
        <v>45487</v>
      </c>
      <c r="C118" s="2">
        <v>45491</v>
      </c>
      <c r="D118">
        <v>4</v>
      </c>
      <c r="E118" t="s">
        <v>14</v>
      </c>
      <c r="F118" t="s">
        <v>15</v>
      </c>
      <c r="G118" t="s">
        <v>13</v>
      </c>
      <c r="H118">
        <f>IF(Table2[[#This Row],[on_time]]="Yes",1,0)</f>
        <v>0</v>
      </c>
    </row>
    <row r="119" spans="1:8">
      <c r="A119">
        <v>118</v>
      </c>
      <c r="B119" s="2">
        <v>45482</v>
      </c>
      <c r="C119" s="2">
        <v>45483</v>
      </c>
      <c r="D119">
        <v>1</v>
      </c>
      <c r="E119" t="s">
        <v>14</v>
      </c>
      <c r="F119" t="s">
        <v>12</v>
      </c>
      <c r="G119" t="s">
        <v>10</v>
      </c>
      <c r="H119">
        <f>IF(Table2[[#This Row],[on_time]]="Yes",1,0)</f>
        <v>1</v>
      </c>
    </row>
    <row r="120" spans="1:8">
      <c r="A120">
        <v>119</v>
      </c>
      <c r="B120" s="2">
        <v>45489</v>
      </c>
      <c r="C120" s="2">
        <v>45492</v>
      </c>
      <c r="D120">
        <v>3</v>
      </c>
      <c r="E120" t="s">
        <v>8</v>
      </c>
      <c r="F120" t="s">
        <v>15</v>
      </c>
      <c r="G120" t="s">
        <v>10</v>
      </c>
      <c r="H120">
        <f>IF(Table2[[#This Row],[on_time]]="Yes",1,0)</f>
        <v>1</v>
      </c>
    </row>
    <row r="121" spans="1:8">
      <c r="A121">
        <v>120</v>
      </c>
      <c r="B121" s="2">
        <v>45476</v>
      </c>
      <c r="C121" s="2">
        <v>45480</v>
      </c>
      <c r="D121">
        <v>4</v>
      </c>
      <c r="E121" t="s">
        <v>11</v>
      </c>
      <c r="F121" t="s">
        <v>9</v>
      </c>
      <c r="G121" t="s">
        <v>13</v>
      </c>
      <c r="H121">
        <f>IF(Table2[[#This Row],[on_time]]="Yes",1,0)</f>
        <v>0</v>
      </c>
    </row>
    <row r="122" spans="1:8">
      <c r="A122">
        <v>121</v>
      </c>
      <c r="B122" s="2">
        <v>45487</v>
      </c>
      <c r="C122" s="2">
        <v>45489</v>
      </c>
      <c r="D122">
        <v>2</v>
      </c>
      <c r="E122" t="s">
        <v>8</v>
      </c>
      <c r="F122" t="s">
        <v>15</v>
      </c>
      <c r="G122" t="s">
        <v>10</v>
      </c>
      <c r="H122">
        <f>IF(Table2[[#This Row],[on_time]]="Yes",1,0)</f>
        <v>1</v>
      </c>
    </row>
    <row r="123" spans="1:8">
      <c r="A123">
        <v>122</v>
      </c>
      <c r="B123" s="2">
        <v>45485</v>
      </c>
      <c r="C123" s="2">
        <v>45487</v>
      </c>
      <c r="D123">
        <v>2</v>
      </c>
      <c r="E123" t="s">
        <v>8</v>
      </c>
      <c r="F123" t="s">
        <v>9</v>
      </c>
      <c r="G123" t="s">
        <v>10</v>
      </c>
      <c r="H123">
        <f>IF(Table2[[#This Row],[on_time]]="Yes",1,0)</f>
        <v>1</v>
      </c>
    </row>
    <row r="124" spans="1:8">
      <c r="A124">
        <v>123</v>
      </c>
      <c r="B124" s="2">
        <v>45482</v>
      </c>
      <c r="C124" s="2">
        <v>45487</v>
      </c>
      <c r="D124">
        <v>5</v>
      </c>
      <c r="E124" t="s">
        <v>14</v>
      </c>
      <c r="F124" t="s">
        <v>15</v>
      </c>
      <c r="G124" t="s">
        <v>13</v>
      </c>
      <c r="H124">
        <f>IF(Table2[[#This Row],[on_time]]="Yes",1,0)</f>
        <v>0</v>
      </c>
    </row>
    <row r="125" spans="1:8">
      <c r="A125">
        <v>124</v>
      </c>
      <c r="B125" s="2">
        <v>45490</v>
      </c>
      <c r="C125" s="2">
        <v>45495</v>
      </c>
      <c r="D125">
        <v>5</v>
      </c>
      <c r="E125" t="s">
        <v>14</v>
      </c>
      <c r="F125" t="s">
        <v>9</v>
      </c>
      <c r="G125" t="s">
        <v>13</v>
      </c>
      <c r="H125">
        <f>IF(Table2[[#This Row],[on_time]]="Yes",1,0)</f>
        <v>0</v>
      </c>
    </row>
    <row r="126" spans="1:8">
      <c r="A126">
        <v>125</v>
      </c>
      <c r="B126" s="2">
        <v>45497</v>
      </c>
      <c r="C126" s="2">
        <v>45502</v>
      </c>
      <c r="D126">
        <v>5</v>
      </c>
      <c r="E126" t="s">
        <v>8</v>
      </c>
      <c r="F126" t="s">
        <v>15</v>
      </c>
      <c r="G126" t="s">
        <v>13</v>
      </c>
      <c r="H126">
        <f>IF(Table2[[#This Row],[on_time]]="Yes",1,0)</f>
        <v>0</v>
      </c>
    </row>
    <row r="127" spans="1:8">
      <c r="A127">
        <v>126</v>
      </c>
      <c r="B127" s="2">
        <v>45491</v>
      </c>
      <c r="C127" s="2">
        <v>45493</v>
      </c>
      <c r="D127">
        <v>2</v>
      </c>
      <c r="E127" t="s">
        <v>11</v>
      </c>
      <c r="F127" t="s">
        <v>9</v>
      </c>
      <c r="G127" t="s">
        <v>10</v>
      </c>
      <c r="H127">
        <f>IF(Table2[[#This Row],[on_time]]="Yes",1,0)</f>
        <v>1</v>
      </c>
    </row>
    <row r="128" spans="1:8">
      <c r="A128">
        <v>127</v>
      </c>
      <c r="B128" s="2">
        <v>45481</v>
      </c>
      <c r="C128" s="2">
        <v>45484</v>
      </c>
      <c r="D128">
        <v>3</v>
      </c>
      <c r="E128" t="s">
        <v>11</v>
      </c>
      <c r="F128" t="s">
        <v>15</v>
      </c>
      <c r="G128" t="s">
        <v>10</v>
      </c>
      <c r="H128">
        <f>IF(Table2[[#This Row],[on_time]]="Yes",1,0)</f>
        <v>1</v>
      </c>
    </row>
    <row r="129" spans="1:8">
      <c r="A129">
        <v>128</v>
      </c>
      <c r="B129" s="2">
        <v>45499</v>
      </c>
      <c r="C129" s="2">
        <v>45502</v>
      </c>
      <c r="D129">
        <v>3</v>
      </c>
      <c r="E129" t="s">
        <v>14</v>
      </c>
      <c r="F129" t="s">
        <v>15</v>
      </c>
      <c r="G129" t="s">
        <v>10</v>
      </c>
      <c r="H129">
        <f>IF(Table2[[#This Row],[on_time]]="Yes",1,0)</f>
        <v>1</v>
      </c>
    </row>
    <row r="130" spans="1:8">
      <c r="A130">
        <v>129</v>
      </c>
      <c r="B130" s="2">
        <v>45477</v>
      </c>
      <c r="C130" s="2">
        <v>45481</v>
      </c>
      <c r="D130">
        <v>4</v>
      </c>
      <c r="E130" t="s">
        <v>8</v>
      </c>
      <c r="F130" t="s">
        <v>12</v>
      </c>
      <c r="G130" t="s">
        <v>13</v>
      </c>
      <c r="H130">
        <f>IF(Table2[[#This Row],[on_time]]="Yes",1,0)</f>
        <v>0</v>
      </c>
    </row>
    <row r="131" spans="1:8">
      <c r="A131">
        <v>130</v>
      </c>
      <c r="B131" s="2">
        <v>45500</v>
      </c>
      <c r="C131" s="2">
        <v>45503</v>
      </c>
      <c r="D131">
        <v>3</v>
      </c>
      <c r="E131" t="s">
        <v>8</v>
      </c>
      <c r="F131" t="s">
        <v>12</v>
      </c>
      <c r="G131" t="s">
        <v>10</v>
      </c>
      <c r="H131">
        <f>IF(Table2[[#This Row],[on_time]]="Yes",1,0)</f>
        <v>1</v>
      </c>
    </row>
    <row r="132" spans="1:8">
      <c r="A132">
        <v>131</v>
      </c>
      <c r="B132" s="2">
        <v>45486</v>
      </c>
      <c r="C132" s="2">
        <v>45487</v>
      </c>
      <c r="D132">
        <v>1</v>
      </c>
      <c r="E132" t="s">
        <v>11</v>
      </c>
      <c r="F132" t="s">
        <v>12</v>
      </c>
      <c r="G132" t="s">
        <v>10</v>
      </c>
      <c r="H132">
        <f>IF(Table2[[#This Row],[on_time]]="Yes",1,0)</f>
        <v>1</v>
      </c>
    </row>
    <row r="133" spans="1:8">
      <c r="A133">
        <v>132</v>
      </c>
      <c r="B133" s="2">
        <v>45478</v>
      </c>
      <c r="C133" s="2">
        <v>45483</v>
      </c>
      <c r="D133">
        <v>5</v>
      </c>
      <c r="E133" t="s">
        <v>11</v>
      </c>
      <c r="F133" t="s">
        <v>9</v>
      </c>
      <c r="G133" t="s">
        <v>13</v>
      </c>
      <c r="H133">
        <f>IF(Table2[[#This Row],[on_time]]="Yes",1,0)</f>
        <v>0</v>
      </c>
    </row>
    <row r="134" spans="1:8">
      <c r="A134">
        <v>133</v>
      </c>
      <c r="B134" s="2">
        <v>45483</v>
      </c>
      <c r="C134" s="2">
        <v>45487</v>
      </c>
      <c r="D134">
        <v>4</v>
      </c>
      <c r="E134" t="s">
        <v>11</v>
      </c>
      <c r="F134" t="s">
        <v>15</v>
      </c>
      <c r="G134" t="s">
        <v>13</v>
      </c>
      <c r="H134">
        <f>IF(Table2[[#This Row],[on_time]]="Yes",1,0)</f>
        <v>0</v>
      </c>
    </row>
    <row r="135" spans="1:8">
      <c r="A135">
        <v>134</v>
      </c>
      <c r="B135" s="2">
        <v>45481</v>
      </c>
      <c r="C135" s="2">
        <v>45486</v>
      </c>
      <c r="D135">
        <v>5</v>
      </c>
      <c r="E135" t="s">
        <v>14</v>
      </c>
      <c r="F135" t="s">
        <v>9</v>
      </c>
      <c r="G135" t="s">
        <v>13</v>
      </c>
      <c r="H135">
        <f>IF(Table2[[#This Row],[on_time]]="Yes",1,0)</f>
        <v>0</v>
      </c>
    </row>
    <row r="136" spans="1:8">
      <c r="A136">
        <v>135</v>
      </c>
      <c r="B136" s="2">
        <v>45486</v>
      </c>
      <c r="C136" s="2">
        <v>45490</v>
      </c>
      <c r="D136">
        <v>4</v>
      </c>
      <c r="E136" t="s">
        <v>8</v>
      </c>
      <c r="F136" t="s">
        <v>9</v>
      </c>
      <c r="G136" t="s">
        <v>13</v>
      </c>
      <c r="H136">
        <f>IF(Table2[[#This Row],[on_time]]="Yes",1,0)</f>
        <v>0</v>
      </c>
    </row>
    <row r="137" spans="1:8">
      <c r="A137">
        <v>136</v>
      </c>
      <c r="B137" s="2">
        <v>45497</v>
      </c>
      <c r="C137" s="2">
        <v>45498</v>
      </c>
      <c r="D137">
        <v>1</v>
      </c>
      <c r="E137" t="s">
        <v>8</v>
      </c>
      <c r="F137" t="s">
        <v>15</v>
      </c>
      <c r="G137" t="s">
        <v>10</v>
      </c>
      <c r="H137">
        <f>IF(Table2[[#This Row],[on_time]]="Yes",1,0)</f>
        <v>1</v>
      </c>
    </row>
    <row r="138" spans="1:8">
      <c r="A138">
        <v>137</v>
      </c>
      <c r="B138" s="2">
        <v>45502</v>
      </c>
      <c r="C138" s="2">
        <v>45504</v>
      </c>
      <c r="D138">
        <v>2</v>
      </c>
      <c r="E138" t="s">
        <v>11</v>
      </c>
      <c r="F138" t="s">
        <v>12</v>
      </c>
      <c r="G138" t="s">
        <v>10</v>
      </c>
      <c r="H138">
        <f>IF(Table2[[#This Row],[on_time]]="Yes",1,0)</f>
        <v>1</v>
      </c>
    </row>
    <row r="139" spans="1:8">
      <c r="A139">
        <v>138</v>
      </c>
      <c r="B139" s="2">
        <v>45492</v>
      </c>
      <c r="C139" s="2">
        <v>45496</v>
      </c>
      <c r="D139">
        <v>4</v>
      </c>
      <c r="E139" t="s">
        <v>14</v>
      </c>
      <c r="F139" t="s">
        <v>15</v>
      </c>
      <c r="G139" t="s">
        <v>13</v>
      </c>
      <c r="H139">
        <f>IF(Table2[[#This Row],[on_time]]="Yes",1,0)</f>
        <v>0</v>
      </c>
    </row>
    <row r="140" spans="1:8">
      <c r="A140">
        <v>139</v>
      </c>
      <c r="B140" s="2">
        <v>45491</v>
      </c>
      <c r="C140" s="2">
        <v>45496</v>
      </c>
      <c r="D140">
        <v>5</v>
      </c>
      <c r="E140" t="s">
        <v>14</v>
      </c>
      <c r="F140" t="s">
        <v>12</v>
      </c>
      <c r="G140" t="s">
        <v>13</v>
      </c>
      <c r="H140">
        <f>IF(Table2[[#This Row],[on_time]]="Yes",1,0)</f>
        <v>0</v>
      </c>
    </row>
    <row r="141" spans="1:8">
      <c r="A141">
        <v>140</v>
      </c>
      <c r="B141" s="2">
        <v>45501</v>
      </c>
      <c r="C141" s="2">
        <v>45505</v>
      </c>
      <c r="D141">
        <v>4</v>
      </c>
      <c r="E141" t="s">
        <v>14</v>
      </c>
      <c r="F141" t="s">
        <v>15</v>
      </c>
      <c r="G141" t="s">
        <v>13</v>
      </c>
      <c r="H141">
        <f>IF(Table2[[#This Row],[on_time]]="Yes",1,0)</f>
        <v>0</v>
      </c>
    </row>
    <row r="142" spans="1:8">
      <c r="A142">
        <v>141</v>
      </c>
      <c r="B142" s="2">
        <v>45476</v>
      </c>
      <c r="C142" s="2">
        <v>45478</v>
      </c>
      <c r="D142">
        <v>2</v>
      </c>
      <c r="E142" t="s">
        <v>14</v>
      </c>
      <c r="F142" t="s">
        <v>9</v>
      </c>
      <c r="G142" t="s">
        <v>10</v>
      </c>
      <c r="H142">
        <f>IF(Table2[[#This Row],[on_time]]="Yes",1,0)</f>
        <v>1</v>
      </c>
    </row>
    <row r="143" spans="1:8">
      <c r="A143">
        <v>142</v>
      </c>
      <c r="B143" s="2">
        <v>45504</v>
      </c>
      <c r="C143" s="2">
        <v>45507</v>
      </c>
      <c r="D143">
        <v>3</v>
      </c>
      <c r="E143" t="s">
        <v>14</v>
      </c>
      <c r="F143" t="s">
        <v>9</v>
      </c>
      <c r="G143" t="s">
        <v>10</v>
      </c>
      <c r="H143">
        <f>IF(Table2[[#This Row],[on_time]]="Yes",1,0)</f>
        <v>1</v>
      </c>
    </row>
    <row r="144" spans="1:8">
      <c r="A144">
        <v>143</v>
      </c>
      <c r="B144" s="2">
        <v>45480</v>
      </c>
      <c r="C144" s="2">
        <v>45485</v>
      </c>
      <c r="D144">
        <v>5</v>
      </c>
      <c r="E144" t="s">
        <v>11</v>
      </c>
      <c r="F144" t="s">
        <v>15</v>
      </c>
      <c r="G144" t="s">
        <v>13</v>
      </c>
      <c r="H144">
        <f>IF(Table2[[#This Row],[on_time]]="Yes",1,0)</f>
        <v>0</v>
      </c>
    </row>
    <row r="145" spans="1:8">
      <c r="A145">
        <v>144</v>
      </c>
      <c r="B145" s="2">
        <v>45488</v>
      </c>
      <c r="C145" s="2">
        <v>45489</v>
      </c>
      <c r="D145">
        <v>1</v>
      </c>
      <c r="E145" t="s">
        <v>11</v>
      </c>
      <c r="F145" t="s">
        <v>9</v>
      </c>
      <c r="G145" t="s">
        <v>10</v>
      </c>
      <c r="H145">
        <f>IF(Table2[[#This Row],[on_time]]="Yes",1,0)</f>
        <v>1</v>
      </c>
    </row>
    <row r="146" spans="1:8">
      <c r="A146">
        <v>145</v>
      </c>
      <c r="B146" s="2">
        <v>45488</v>
      </c>
      <c r="C146" s="2">
        <v>45491</v>
      </c>
      <c r="D146">
        <v>3</v>
      </c>
      <c r="E146" t="s">
        <v>11</v>
      </c>
      <c r="F146" t="s">
        <v>9</v>
      </c>
      <c r="G146" t="s">
        <v>10</v>
      </c>
      <c r="H146">
        <f>IF(Table2[[#This Row],[on_time]]="Yes",1,0)</f>
        <v>1</v>
      </c>
    </row>
    <row r="147" spans="1:8">
      <c r="A147">
        <v>146</v>
      </c>
      <c r="B147" s="2">
        <v>45485</v>
      </c>
      <c r="C147" s="2">
        <v>45488</v>
      </c>
      <c r="D147">
        <v>3</v>
      </c>
      <c r="E147" t="s">
        <v>14</v>
      </c>
      <c r="F147" t="s">
        <v>12</v>
      </c>
      <c r="G147" t="s">
        <v>10</v>
      </c>
      <c r="H147">
        <f>IF(Table2[[#This Row],[on_time]]="Yes",1,0)</f>
        <v>1</v>
      </c>
    </row>
    <row r="148" spans="1:8">
      <c r="A148">
        <v>147</v>
      </c>
      <c r="B148" s="2">
        <v>45495</v>
      </c>
      <c r="C148" s="2">
        <v>45496</v>
      </c>
      <c r="D148">
        <v>1</v>
      </c>
      <c r="E148" t="s">
        <v>11</v>
      </c>
      <c r="F148" t="s">
        <v>15</v>
      </c>
      <c r="G148" t="s">
        <v>10</v>
      </c>
      <c r="H148">
        <f>IF(Table2[[#This Row],[on_time]]="Yes",1,0)</f>
        <v>1</v>
      </c>
    </row>
    <row r="149" spans="1:8">
      <c r="A149">
        <v>148</v>
      </c>
      <c r="B149" s="2">
        <v>45496</v>
      </c>
      <c r="C149" s="2">
        <v>45500</v>
      </c>
      <c r="D149">
        <v>4</v>
      </c>
      <c r="E149" t="s">
        <v>14</v>
      </c>
      <c r="F149" t="s">
        <v>12</v>
      </c>
      <c r="G149" t="s">
        <v>13</v>
      </c>
      <c r="H149">
        <f>IF(Table2[[#This Row],[on_time]]="Yes",1,0)</f>
        <v>0</v>
      </c>
    </row>
    <row r="150" spans="1:8">
      <c r="A150">
        <v>149</v>
      </c>
      <c r="B150" s="2">
        <v>45501</v>
      </c>
      <c r="C150" s="2">
        <v>45504</v>
      </c>
      <c r="D150">
        <v>3</v>
      </c>
      <c r="E150" t="s">
        <v>14</v>
      </c>
      <c r="F150" t="s">
        <v>9</v>
      </c>
      <c r="G150" t="s">
        <v>10</v>
      </c>
      <c r="H150">
        <f>IF(Table2[[#This Row],[on_time]]="Yes",1,0)</f>
        <v>1</v>
      </c>
    </row>
    <row r="151" spans="1:8">
      <c r="A151">
        <v>150</v>
      </c>
      <c r="B151" s="2">
        <v>45476</v>
      </c>
      <c r="C151" s="2">
        <v>45479</v>
      </c>
      <c r="D151">
        <v>3</v>
      </c>
      <c r="E151" t="s">
        <v>8</v>
      </c>
      <c r="F151" t="s">
        <v>12</v>
      </c>
      <c r="G151" t="s">
        <v>10</v>
      </c>
      <c r="H151">
        <f>IF(Table2[[#This Row],[on_time]]="Yes",1,0)</f>
        <v>1</v>
      </c>
    </row>
    <row r="152" spans="1:8">
      <c r="A152">
        <v>151</v>
      </c>
      <c r="B152" s="2">
        <v>45486</v>
      </c>
      <c r="C152" s="2">
        <v>45490</v>
      </c>
      <c r="D152">
        <v>4</v>
      </c>
      <c r="E152" t="s">
        <v>11</v>
      </c>
      <c r="F152" t="s">
        <v>9</v>
      </c>
      <c r="G152" t="s">
        <v>13</v>
      </c>
      <c r="H152">
        <f>IF(Table2[[#This Row],[on_time]]="Yes",1,0)</f>
        <v>0</v>
      </c>
    </row>
    <row r="153" spans="1:8">
      <c r="A153">
        <v>152</v>
      </c>
      <c r="B153" s="2">
        <v>45476</v>
      </c>
      <c r="C153" s="2">
        <v>45480</v>
      </c>
      <c r="D153">
        <v>4</v>
      </c>
      <c r="E153" t="s">
        <v>11</v>
      </c>
      <c r="F153" t="s">
        <v>12</v>
      </c>
      <c r="G153" t="s">
        <v>13</v>
      </c>
      <c r="H153">
        <f>IF(Table2[[#This Row],[on_time]]="Yes",1,0)</f>
        <v>0</v>
      </c>
    </row>
    <row r="154" spans="1:8">
      <c r="A154">
        <v>153</v>
      </c>
      <c r="B154" s="2">
        <v>45497</v>
      </c>
      <c r="C154" s="2">
        <v>45499</v>
      </c>
      <c r="D154">
        <v>2</v>
      </c>
      <c r="E154" t="s">
        <v>8</v>
      </c>
      <c r="F154" t="s">
        <v>15</v>
      </c>
      <c r="G154" t="s">
        <v>10</v>
      </c>
      <c r="H154">
        <f>IF(Table2[[#This Row],[on_time]]="Yes",1,0)</f>
        <v>1</v>
      </c>
    </row>
    <row r="155" spans="1:8">
      <c r="A155">
        <v>154</v>
      </c>
      <c r="B155" s="2">
        <v>45477</v>
      </c>
      <c r="C155" s="2">
        <v>45481</v>
      </c>
      <c r="D155">
        <v>4</v>
      </c>
      <c r="E155" t="s">
        <v>8</v>
      </c>
      <c r="F155" t="s">
        <v>9</v>
      </c>
      <c r="G155" t="s">
        <v>13</v>
      </c>
      <c r="H155">
        <f>IF(Table2[[#This Row],[on_time]]="Yes",1,0)</f>
        <v>0</v>
      </c>
    </row>
    <row r="156" spans="1:8">
      <c r="A156">
        <v>155</v>
      </c>
      <c r="B156" s="2">
        <v>45503</v>
      </c>
      <c r="C156" s="2">
        <v>45506</v>
      </c>
      <c r="D156">
        <v>3</v>
      </c>
      <c r="E156" t="s">
        <v>8</v>
      </c>
      <c r="F156" t="s">
        <v>12</v>
      </c>
      <c r="G156" t="s">
        <v>10</v>
      </c>
      <c r="H156">
        <f>IF(Table2[[#This Row],[on_time]]="Yes",1,0)</f>
        <v>1</v>
      </c>
    </row>
    <row r="157" spans="1:8">
      <c r="A157">
        <v>156</v>
      </c>
      <c r="B157" s="2">
        <v>45484</v>
      </c>
      <c r="C157" s="2">
        <v>45487</v>
      </c>
      <c r="D157">
        <v>3</v>
      </c>
      <c r="E157" t="s">
        <v>14</v>
      </c>
      <c r="F157" t="s">
        <v>9</v>
      </c>
      <c r="G157" t="s">
        <v>10</v>
      </c>
      <c r="H157">
        <f>IF(Table2[[#This Row],[on_time]]="Yes",1,0)</f>
        <v>1</v>
      </c>
    </row>
    <row r="158" spans="1:8">
      <c r="A158">
        <v>157</v>
      </c>
      <c r="B158" s="2">
        <v>45500</v>
      </c>
      <c r="C158" s="2">
        <v>45502</v>
      </c>
      <c r="D158">
        <v>2</v>
      </c>
      <c r="E158" t="s">
        <v>14</v>
      </c>
      <c r="F158" t="s">
        <v>9</v>
      </c>
      <c r="G158" t="s">
        <v>10</v>
      </c>
      <c r="H158">
        <f>IF(Table2[[#This Row],[on_time]]="Yes",1,0)</f>
        <v>1</v>
      </c>
    </row>
    <row r="159" spans="1:8">
      <c r="A159">
        <v>158</v>
      </c>
      <c r="B159" s="2">
        <v>45484</v>
      </c>
      <c r="C159" s="2">
        <v>45486</v>
      </c>
      <c r="D159">
        <v>2</v>
      </c>
      <c r="E159" t="s">
        <v>8</v>
      </c>
      <c r="F159" t="s">
        <v>15</v>
      </c>
      <c r="G159" t="s">
        <v>10</v>
      </c>
      <c r="H159">
        <f>IF(Table2[[#This Row],[on_time]]="Yes",1,0)</f>
        <v>1</v>
      </c>
    </row>
    <row r="160" spans="1:8">
      <c r="A160">
        <v>159</v>
      </c>
      <c r="B160" s="2">
        <v>45500</v>
      </c>
      <c r="C160" s="2">
        <v>45501</v>
      </c>
      <c r="D160">
        <v>1</v>
      </c>
      <c r="E160" t="s">
        <v>11</v>
      </c>
      <c r="F160" t="s">
        <v>9</v>
      </c>
      <c r="G160" t="s">
        <v>10</v>
      </c>
      <c r="H160">
        <f>IF(Table2[[#This Row],[on_time]]="Yes",1,0)</f>
        <v>1</v>
      </c>
    </row>
    <row r="161" spans="1:8">
      <c r="A161">
        <v>160</v>
      </c>
      <c r="B161" s="2">
        <v>45489</v>
      </c>
      <c r="C161" s="2">
        <v>45493</v>
      </c>
      <c r="D161">
        <v>4</v>
      </c>
      <c r="E161" t="s">
        <v>11</v>
      </c>
      <c r="F161" t="s">
        <v>12</v>
      </c>
      <c r="G161" t="s">
        <v>13</v>
      </c>
      <c r="H161">
        <f>IF(Table2[[#This Row],[on_time]]="Yes",1,0)</f>
        <v>0</v>
      </c>
    </row>
    <row r="162" spans="1:8">
      <c r="A162">
        <v>161</v>
      </c>
      <c r="B162" s="2">
        <v>45490</v>
      </c>
      <c r="C162" s="2">
        <v>45491</v>
      </c>
      <c r="D162">
        <v>1</v>
      </c>
      <c r="E162" t="s">
        <v>14</v>
      </c>
      <c r="F162" t="s">
        <v>15</v>
      </c>
      <c r="G162" t="s">
        <v>10</v>
      </c>
      <c r="H162">
        <f>IF(Table2[[#This Row],[on_time]]="Yes",1,0)</f>
        <v>1</v>
      </c>
    </row>
    <row r="163" spans="1:8">
      <c r="A163">
        <v>162</v>
      </c>
      <c r="B163" s="2">
        <v>45489</v>
      </c>
      <c r="C163" s="2">
        <v>45492</v>
      </c>
      <c r="D163">
        <v>3</v>
      </c>
      <c r="E163" t="s">
        <v>14</v>
      </c>
      <c r="F163" t="s">
        <v>12</v>
      </c>
      <c r="G163" t="s">
        <v>10</v>
      </c>
      <c r="H163">
        <f>IF(Table2[[#This Row],[on_time]]="Yes",1,0)</f>
        <v>1</v>
      </c>
    </row>
    <row r="164" spans="1:8">
      <c r="A164">
        <v>163</v>
      </c>
      <c r="B164" s="2">
        <v>45485</v>
      </c>
      <c r="C164" s="2">
        <v>45487</v>
      </c>
      <c r="D164">
        <v>2</v>
      </c>
      <c r="E164" t="s">
        <v>11</v>
      </c>
      <c r="F164" t="s">
        <v>15</v>
      </c>
      <c r="G164" t="s">
        <v>10</v>
      </c>
      <c r="H164">
        <f>IF(Table2[[#This Row],[on_time]]="Yes",1,0)</f>
        <v>1</v>
      </c>
    </row>
    <row r="165" spans="1:8">
      <c r="A165">
        <v>164</v>
      </c>
      <c r="B165" s="2">
        <v>45490</v>
      </c>
      <c r="C165" s="2">
        <v>45495</v>
      </c>
      <c r="D165">
        <v>5</v>
      </c>
      <c r="E165" t="s">
        <v>8</v>
      </c>
      <c r="F165" t="s">
        <v>12</v>
      </c>
      <c r="G165" t="s">
        <v>13</v>
      </c>
      <c r="H165">
        <f>IF(Table2[[#This Row],[on_time]]="Yes",1,0)</f>
        <v>0</v>
      </c>
    </row>
    <row r="166" spans="1:8">
      <c r="A166">
        <v>165</v>
      </c>
      <c r="B166" s="2">
        <v>45479</v>
      </c>
      <c r="C166" s="2">
        <v>45481</v>
      </c>
      <c r="D166">
        <v>2</v>
      </c>
      <c r="E166" t="s">
        <v>14</v>
      </c>
      <c r="F166" t="s">
        <v>9</v>
      </c>
      <c r="G166" t="s">
        <v>10</v>
      </c>
      <c r="H166">
        <f>IF(Table2[[#This Row],[on_time]]="Yes",1,0)</f>
        <v>1</v>
      </c>
    </row>
    <row r="167" spans="1:8">
      <c r="A167">
        <v>166</v>
      </c>
      <c r="B167" s="2">
        <v>45494</v>
      </c>
      <c r="C167" s="2">
        <v>45497</v>
      </c>
      <c r="D167">
        <v>3</v>
      </c>
      <c r="E167" t="s">
        <v>14</v>
      </c>
      <c r="F167" t="s">
        <v>15</v>
      </c>
      <c r="G167" t="s">
        <v>10</v>
      </c>
      <c r="H167">
        <f>IF(Table2[[#This Row],[on_time]]="Yes",1,0)</f>
        <v>1</v>
      </c>
    </row>
    <row r="168" spans="1:8">
      <c r="A168">
        <v>167</v>
      </c>
      <c r="B168" s="2">
        <v>45489</v>
      </c>
      <c r="C168" s="2">
        <v>45492</v>
      </c>
      <c r="D168">
        <v>3</v>
      </c>
      <c r="E168" t="s">
        <v>8</v>
      </c>
      <c r="F168" t="s">
        <v>9</v>
      </c>
      <c r="G168" t="s">
        <v>10</v>
      </c>
      <c r="H168">
        <f>IF(Table2[[#This Row],[on_time]]="Yes",1,0)</f>
        <v>1</v>
      </c>
    </row>
    <row r="169" spans="1:8">
      <c r="A169">
        <v>168</v>
      </c>
      <c r="B169" s="2">
        <v>45504</v>
      </c>
      <c r="C169" s="2">
        <v>45508</v>
      </c>
      <c r="D169">
        <v>4</v>
      </c>
      <c r="E169" t="s">
        <v>14</v>
      </c>
      <c r="F169" t="s">
        <v>9</v>
      </c>
      <c r="G169" t="s">
        <v>13</v>
      </c>
      <c r="H169">
        <f>IF(Table2[[#This Row],[on_time]]="Yes",1,0)</f>
        <v>0</v>
      </c>
    </row>
    <row r="170" spans="1:8">
      <c r="A170">
        <v>169</v>
      </c>
      <c r="B170" s="2">
        <v>45501</v>
      </c>
      <c r="C170" s="2">
        <v>45502</v>
      </c>
      <c r="D170">
        <v>1</v>
      </c>
      <c r="E170" t="s">
        <v>14</v>
      </c>
      <c r="F170" t="s">
        <v>12</v>
      </c>
      <c r="G170" t="s">
        <v>10</v>
      </c>
      <c r="H170">
        <f>IF(Table2[[#This Row],[on_time]]="Yes",1,0)</f>
        <v>1</v>
      </c>
    </row>
    <row r="171" spans="1:8">
      <c r="A171">
        <v>170</v>
      </c>
      <c r="B171" s="2">
        <v>45484</v>
      </c>
      <c r="C171" s="2">
        <v>45486</v>
      </c>
      <c r="D171">
        <v>2</v>
      </c>
      <c r="E171" t="s">
        <v>14</v>
      </c>
      <c r="F171" t="s">
        <v>9</v>
      </c>
      <c r="G171" t="s">
        <v>10</v>
      </c>
      <c r="H171">
        <f>IF(Table2[[#This Row],[on_time]]="Yes",1,0)</f>
        <v>1</v>
      </c>
    </row>
    <row r="172" spans="1:8">
      <c r="A172">
        <v>171</v>
      </c>
      <c r="B172" s="2">
        <v>45499</v>
      </c>
      <c r="C172" s="2">
        <v>45500</v>
      </c>
      <c r="D172">
        <v>1</v>
      </c>
      <c r="E172" t="s">
        <v>8</v>
      </c>
      <c r="F172" t="s">
        <v>12</v>
      </c>
      <c r="G172" t="s">
        <v>10</v>
      </c>
      <c r="H172">
        <f>IF(Table2[[#This Row],[on_time]]="Yes",1,0)</f>
        <v>1</v>
      </c>
    </row>
    <row r="173" spans="1:8">
      <c r="A173">
        <v>172</v>
      </c>
      <c r="B173" s="2">
        <v>45486</v>
      </c>
      <c r="C173" s="2">
        <v>45487</v>
      </c>
      <c r="D173">
        <v>1</v>
      </c>
      <c r="E173" t="s">
        <v>8</v>
      </c>
      <c r="F173" t="s">
        <v>15</v>
      </c>
      <c r="G173" t="s">
        <v>10</v>
      </c>
      <c r="H173">
        <f>IF(Table2[[#This Row],[on_time]]="Yes",1,0)</f>
        <v>1</v>
      </c>
    </row>
    <row r="174" spans="1:8">
      <c r="A174">
        <v>173</v>
      </c>
      <c r="B174" s="2">
        <v>45493</v>
      </c>
      <c r="C174" s="2">
        <v>45497</v>
      </c>
      <c r="D174">
        <v>4</v>
      </c>
      <c r="E174" t="s">
        <v>11</v>
      </c>
      <c r="F174" t="s">
        <v>15</v>
      </c>
      <c r="G174" t="s">
        <v>13</v>
      </c>
      <c r="H174">
        <f>IF(Table2[[#This Row],[on_time]]="Yes",1,0)</f>
        <v>0</v>
      </c>
    </row>
    <row r="175" spans="1:8">
      <c r="A175">
        <v>174</v>
      </c>
      <c r="B175" s="2">
        <v>45491</v>
      </c>
      <c r="C175" s="2">
        <v>45493</v>
      </c>
      <c r="D175">
        <v>2</v>
      </c>
      <c r="E175" t="s">
        <v>11</v>
      </c>
      <c r="F175" t="s">
        <v>15</v>
      </c>
      <c r="G175" t="s">
        <v>10</v>
      </c>
      <c r="H175">
        <f>IF(Table2[[#This Row],[on_time]]="Yes",1,0)</f>
        <v>1</v>
      </c>
    </row>
    <row r="176" spans="1:8">
      <c r="A176">
        <v>175</v>
      </c>
      <c r="B176" s="2">
        <v>45497</v>
      </c>
      <c r="C176" s="2">
        <v>45502</v>
      </c>
      <c r="D176">
        <v>5</v>
      </c>
      <c r="E176" t="s">
        <v>11</v>
      </c>
      <c r="F176" t="s">
        <v>9</v>
      </c>
      <c r="G176" t="s">
        <v>13</v>
      </c>
      <c r="H176">
        <f>IF(Table2[[#This Row],[on_time]]="Yes",1,0)</f>
        <v>0</v>
      </c>
    </row>
    <row r="177" spans="1:8">
      <c r="A177">
        <v>176</v>
      </c>
      <c r="B177" s="2">
        <v>45490</v>
      </c>
      <c r="C177" s="2">
        <v>45493</v>
      </c>
      <c r="D177">
        <v>3</v>
      </c>
      <c r="E177" t="s">
        <v>8</v>
      </c>
      <c r="F177" t="s">
        <v>12</v>
      </c>
      <c r="G177" t="s">
        <v>10</v>
      </c>
      <c r="H177">
        <f>IF(Table2[[#This Row],[on_time]]="Yes",1,0)</f>
        <v>1</v>
      </c>
    </row>
    <row r="178" spans="1:8">
      <c r="A178">
        <v>177</v>
      </c>
      <c r="B178" s="2">
        <v>45500</v>
      </c>
      <c r="C178" s="2">
        <v>45504</v>
      </c>
      <c r="D178">
        <v>4</v>
      </c>
      <c r="E178" t="s">
        <v>14</v>
      </c>
      <c r="F178" t="s">
        <v>9</v>
      </c>
      <c r="G178" t="s">
        <v>13</v>
      </c>
      <c r="H178">
        <f>IF(Table2[[#This Row],[on_time]]="Yes",1,0)</f>
        <v>0</v>
      </c>
    </row>
    <row r="179" spans="1:8">
      <c r="A179">
        <v>178</v>
      </c>
      <c r="B179" s="2">
        <v>45496</v>
      </c>
      <c r="C179" s="2">
        <v>45498</v>
      </c>
      <c r="D179">
        <v>2</v>
      </c>
      <c r="E179" t="s">
        <v>11</v>
      </c>
      <c r="F179" t="s">
        <v>15</v>
      </c>
      <c r="G179" t="s">
        <v>10</v>
      </c>
      <c r="H179">
        <f>IF(Table2[[#This Row],[on_time]]="Yes",1,0)</f>
        <v>1</v>
      </c>
    </row>
    <row r="180" spans="1:8">
      <c r="A180">
        <v>179</v>
      </c>
      <c r="B180" s="2">
        <v>45482</v>
      </c>
      <c r="C180" s="2">
        <v>45487</v>
      </c>
      <c r="D180">
        <v>5</v>
      </c>
      <c r="E180" t="s">
        <v>8</v>
      </c>
      <c r="F180" t="s">
        <v>12</v>
      </c>
      <c r="G180" t="s">
        <v>13</v>
      </c>
      <c r="H180">
        <f>IF(Table2[[#This Row],[on_time]]="Yes",1,0)</f>
        <v>0</v>
      </c>
    </row>
    <row r="181" spans="1:8">
      <c r="A181">
        <v>180</v>
      </c>
      <c r="B181" s="2">
        <v>45504</v>
      </c>
      <c r="C181" s="2">
        <v>45509</v>
      </c>
      <c r="D181">
        <v>5</v>
      </c>
      <c r="E181" t="s">
        <v>8</v>
      </c>
      <c r="F181" t="s">
        <v>9</v>
      </c>
      <c r="G181" t="s">
        <v>13</v>
      </c>
      <c r="H181">
        <f>IF(Table2[[#This Row],[on_time]]="Yes",1,0)</f>
        <v>0</v>
      </c>
    </row>
    <row r="182" spans="1:8">
      <c r="A182">
        <v>181</v>
      </c>
      <c r="B182" s="2">
        <v>45501</v>
      </c>
      <c r="C182" s="2">
        <v>45504</v>
      </c>
      <c r="D182">
        <v>3</v>
      </c>
      <c r="E182" t="s">
        <v>8</v>
      </c>
      <c r="F182" t="s">
        <v>15</v>
      </c>
      <c r="G182" t="s">
        <v>10</v>
      </c>
      <c r="H182">
        <f>IF(Table2[[#This Row],[on_time]]="Yes",1,0)</f>
        <v>1</v>
      </c>
    </row>
    <row r="183" spans="1:8">
      <c r="A183">
        <v>182</v>
      </c>
      <c r="B183" s="2">
        <v>45486</v>
      </c>
      <c r="C183" s="2">
        <v>45489</v>
      </c>
      <c r="D183">
        <v>3</v>
      </c>
      <c r="E183" t="s">
        <v>14</v>
      </c>
      <c r="F183" t="s">
        <v>9</v>
      </c>
      <c r="G183" t="s">
        <v>10</v>
      </c>
      <c r="H183">
        <f>IF(Table2[[#This Row],[on_time]]="Yes",1,0)</f>
        <v>1</v>
      </c>
    </row>
    <row r="184" spans="1:8">
      <c r="A184">
        <v>183</v>
      </c>
      <c r="B184" s="2">
        <v>45479</v>
      </c>
      <c r="C184" s="2">
        <v>45484</v>
      </c>
      <c r="D184">
        <v>5</v>
      </c>
      <c r="E184" t="s">
        <v>8</v>
      </c>
      <c r="F184" t="s">
        <v>9</v>
      </c>
      <c r="G184" t="s">
        <v>13</v>
      </c>
      <c r="H184">
        <f>IF(Table2[[#This Row],[on_time]]="Yes",1,0)</f>
        <v>0</v>
      </c>
    </row>
    <row r="185" spans="1:8">
      <c r="A185">
        <v>184</v>
      </c>
      <c r="B185" s="2">
        <v>45497</v>
      </c>
      <c r="C185" s="2">
        <v>45498</v>
      </c>
      <c r="D185">
        <v>1</v>
      </c>
      <c r="E185" t="s">
        <v>8</v>
      </c>
      <c r="F185" t="s">
        <v>9</v>
      </c>
      <c r="G185" t="s">
        <v>10</v>
      </c>
      <c r="H185">
        <f>IF(Table2[[#This Row],[on_time]]="Yes",1,0)</f>
        <v>1</v>
      </c>
    </row>
    <row r="186" spans="1:8">
      <c r="A186">
        <v>185</v>
      </c>
      <c r="B186" s="2">
        <v>45482</v>
      </c>
      <c r="C186" s="2">
        <v>45483</v>
      </c>
      <c r="D186">
        <v>1</v>
      </c>
      <c r="E186" t="s">
        <v>11</v>
      </c>
      <c r="F186" t="s">
        <v>15</v>
      </c>
      <c r="G186" t="s">
        <v>10</v>
      </c>
      <c r="H186">
        <f>IF(Table2[[#This Row],[on_time]]="Yes",1,0)</f>
        <v>1</v>
      </c>
    </row>
    <row r="187" spans="1:8">
      <c r="A187">
        <v>186</v>
      </c>
      <c r="B187" s="2">
        <v>45489</v>
      </c>
      <c r="C187" s="2">
        <v>45490</v>
      </c>
      <c r="D187">
        <v>1</v>
      </c>
      <c r="E187" t="s">
        <v>11</v>
      </c>
      <c r="F187" t="s">
        <v>15</v>
      </c>
      <c r="G187" t="s">
        <v>10</v>
      </c>
      <c r="H187">
        <f>IF(Table2[[#This Row],[on_time]]="Yes",1,0)</f>
        <v>1</v>
      </c>
    </row>
    <row r="188" spans="1:8">
      <c r="A188">
        <v>187</v>
      </c>
      <c r="B188" s="2">
        <v>45495</v>
      </c>
      <c r="C188" s="2">
        <v>45497</v>
      </c>
      <c r="D188">
        <v>2</v>
      </c>
      <c r="E188" t="s">
        <v>8</v>
      </c>
      <c r="F188" t="s">
        <v>15</v>
      </c>
      <c r="G188" t="s">
        <v>10</v>
      </c>
      <c r="H188">
        <f>IF(Table2[[#This Row],[on_time]]="Yes",1,0)</f>
        <v>1</v>
      </c>
    </row>
    <row r="189" spans="1:8">
      <c r="A189">
        <v>188</v>
      </c>
      <c r="B189" s="2">
        <v>45476</v>
      </c>
      <c r="C189" s="2">
        <v>45477</v>
      </c>
      <c r="D189">
        <v>1</v>
      </c>
      <c r="E189" t="s">
        <v>8</v>
      </c>
      <c r="F189" t="s">
        <v>12</v>
      </c>
      <c r="G189" t="s">
        <v>10</v>
      </c>
      <c r="H189">
        <f>IF(Table2[[#This Row],[on_time]]="Yes",1,0)</f>
        <v>1</v>
      </c>
    </row>
    <row r="190" spans="1:8">
      <c r="A190">
        <v>189</v>
      </c>
      <c r="B190" s="2">
        <v>45481</v>
      </c>
      <c r="C190" s="2">
        <v>45486</v>
      </c>
      <c r="D190">
        <v>5</v>
      </c>
      <c r="E190" t="s">
        <v>14</v>
      </c>
      <c r="F190" t="s">
        <v>15</v>
      </c>
      <c r="G190" t="s">
        <v>13</v>
      </c>
      <c r="H190">
        <f>IF(Table2[[#This Row],[on_time]]="Yes",1,0)</f>
        <v>0</v>
      </c>
    </row>
    <row r="191" spans="1:8">
      <c r="A191">
        <v>190</v>
      </c>
      <c r="B191" s="2">
        <v>45487</v>
      </c>
      <c r="C191" s="2">
        <v>45490</v>
      </c>
      <c r="D191">
        <v>3</v>
      </c>
      <c r="E191" t="s">
        <v>14</v>
      </c>
      <c r="F191" t="s">
        <v>9</v>
      </c>
      <c r="G191" t="s">
        <v>10</v>
      </c>
      <c r="H191">
        <f>IF(Table2[[#This Row],[on_time]]="Yes",1,0)</f>
        <v>1</v>
      </c>
    </row>
    <row r="192" spans="1:8">
      <c r="A192">
        <v>191</v>
      </c>
      <c r="B192" s="2">
        <v>45500</v>
      </c>
      <c r="C192" s="2">
        <v>45503</v>
      </c>
      <c r="D192">
        <v>3</v>
      </c>
      <c r="E192" t="s">
        <v>14</v>
      </c>
      <c r="F192" t="s">
        <v>12</v>
      </c>
      <c r="G192" t="s">
        <v>10</v>
      </c>
      <c r="H192">
        <f>IF(Table2[[#This Row],[on_time]]="Yes",1,0)</f>
        <v>1</v>
      </c>
    </row>
    <row r="193" spans="1:8">
      <c r="A193">
        <v>192</v>
      </c>
      <c r="B193" s="2">
        <v>45487</v>
      </c>
      <c r="C193" s="2">
        <v>45489</v>
      </c>
      <c r="D193">
        <v>2</v>
      </c>
      <c r="E193" t="s">
        <v>11</v>
      </c>
      <c r="F193" t="s">
        <v>9</v>
      </c>
      <c r="G193" t="s">
        <v>10</v>
      </c>
      <c r="H193">
        <f>IF(Table2[[#This Row],[on_time]]="Yes",1,0)</f>
        <v>1</v>
      </c>
    </row>
    <row r="194" spans="1:8">
      <c r="A194">
        <v>193</v>
      </c>
      <c r="B194" s="2">
        <v>45481</v>
      </c>
      <c r="C194" s="2">
        <v>45486</v>
      </c>
      <c r="D194">
        <v>5</v>
      </c>
      <c r="E194" t="s">
        <v>8</v>
      </c>
      <c r="F194" t="s">
        <v>9</v>
      </c>
      <c r="G194" t="s">
        <v>13</v>
      </c>
      <c r="H194">
        <f>IF(Table2[[#This Row],[on_time]]="Yes",1,0)</f>
        <v>0</v>
      </c>
    </row>
    <row r="195" spans="1:8">
      <c r="A195">
        <v>194</v>
      </c>
      <c r="B195" s="2">
        <v>45504</v>
      </c>
      <c r="C195" s="2">
        <v>45505</v>
      </c>
      <c r="D195">
        <v>1</v>
      </c>
      <c r="E195" t="s">
        <v>11</v>
      </c>
      <c r="F195" t="s">
        <v>9</v>
      </c>
      <c r="G195" t="s">
        <v>10</v>
      </c>
      <c r="H195">
        <f>IF(Table2[[#This Row],[on_time]]="Yes",1,0)</f>
        <v>1</v>
      </c>
    </row>
    <row r="196" spans="1:8">
      <c r="A196">
        <v>195</v>
      </c>
      <c r="B196" s="2">
        <v>45491</v>
      </c>
      <c r="C196" s="2">
        <v>45494</v>
      </c>
      <c r="D196">
        <v>3</v>
      </c>
      <c r="E196" t="s">
        <v>11</v>
      </c>
      <c r="F196" t="s">
        <v>9</v>
      </c>
      <c r="G196" t="s">
        <v>10</v>
      </c>
      <c r="H196">
        <f>IF(Table2[[#This Row],[on_time]]="Yes",1,0)</f>
        <v>1</v>
      </c>
    </row>
    <row r="197" spans="1:8">
      <c r="A197">
        <v>196</v>
      </c>
      <c r="B197" s="2">
        <v>45492</v>
      </c>
      <c r="C197" s="2">
        <v>45495</v>
      </c>
      <c r="D197">
        <v>3</v>
      </c>
      <c r="E197" t="s">
        <v>8</v>
      </c>
      <c r="F197" t="s">
        <v>15</v>
      </c>
      <c r="G197" t="s">
        <v>10</v>
      </c>
      <c r="H197">
        <f>IF(Table2[[#This Row],[on_time]]="Yes",1,0)</f>
        <v>1</v>
      </c>
    </row>
    <row r="198" spans="1:8">
      <c r="A198">
        <v>197</v>
      </c>
      <c r="B198" s="2">
        <v>45504</v>
      </c>
      <c r="C198" s="2">
        <v>45507</v>
      </c>
      <c r="D198">
        <v>3</v>
      </c>
      <c r="E198" t="s">
        <v>14</v>
      </c>
      <c r="F198" t="s">
        <v>9</v>
      </c>
      <c r="G198" t="s">
        <v>10</v>
      </c>
      <c r="H198">
        <f>IF(Table2[[#This Row],[on_time]]="Yes",1,0)</f>
        <v>1</v>
      </c>
    </row>
    <row r="199" spans="1:8">
      <c r="A199">
        <v>198</v>
      </c>
      <c r="B199" s="2">
        <v>45500</v>
      </c>
      <c r="C199" s="2">
        <v>45501</v>
      </c>
      <c r="D199">
        <v>1</v>
      </c>
      <c r="E199" t="s">
        <v>8</v>
      </c>
      <c r="F199" t="s">
        <v>15</v>
      </c>
      <c r="G199" t="s">
        <v>10</v>
      </c>
      <c r="H199">
        <f>IF(Table2[[#This Row],[on_time]]="Yes",1,0)</f>
        <v>1</v>
      </c>
    </row>
    <row r="200" spans="1:8">
      <c r="A200">
        <v>199</v>
      </c>
      <c r="B200" s="2">
        <v>45497</v>
      </c>
      <c r="C200" s="2">
        <v>45499</v>
      </c>
      <c r="D200">
        <v>2</v>
      </c>
      <c r="E200" t="s">
        <v>8</v>
      </c>
      <c r="F200" t="s">
        <v>9</v>
      </c>
      <c r="G200" t="s">
        <v>10</v>
      </c>
      <c r="H200">
        <f>IF(Table2[[#This Row],[on_time]]="Yes",1,0)</f>
        <v>1</v>
      </c>
    </row>
    <row r="201" spans="1:8">
      <c r="A201">
        <v>200</v>
      </c>
      <c r="B201" s="2">
        <v>45503</v>
      </c>
      <c r="C201" s="2">
        <v>45505</v>
      </c>
      <c r="D201">
        <v>2</v>
      </c>
      <c r="E201" t="s">
        <v>14</v>
      </c>
      <c r="F201" t="s">
        <v>9</v>
      </c>
      <c r="G201" t="s">
        <v>10</v>
      </c>
      <c r="H201">
        <f>IF(Table2[[#This Row],[on_time]]="Yes",1,0)</f>
        <v>1</v>
      </c>
    </row>
    <row r="202" spans="1:8">
      <c r="A202">
        <v>201</v>
      </c>
      <c r="B202" s="2">
        <v>45503</v>
      </c>
      <c r="C202" s="2">
        <v>45505</v>
      </c>
      <c r="D202">
        <v>2</v>
      </c>
      <c r="E202" t="s">
        <v>8</v>
      </c>
      <c r="F202" t="s">
        <v>9</v>
      </c>
      <c r="G202" t="s">
        <v>10</v>
      </c>
      <c r="H202">
        <f>IF(Table2[[#This Row],[on_time]]="Yes",1,0)</f>
        <v>1</v>
      </c>
    </row>
    <row r="203" spans="1:8">
      <c r="A203">
        <v>202</v>
      </c>
      <c r="B203" s="2">
        <v>45504</v>
      </c>
      <c r="C203" s="2">
        <v>45507</v>
      </c>
      <c r="D203">
        <v>3</v>
      </c>
      <c r="E203" t="s">
        <v>14</v>
      </c>
      <c r="F203" t="s">
        <v>15</v>
      </c>
      <c r="G203" t="s">
        <v>10</v>
      </c>
      <c r="H203">
        <f>IF(Table2[[#This Row],[on_time]]="Yes",1,0)</f>
        <v>1</v>
      </c>
    </row>
    <row r="204" spans="1:8">
      <c r="A204">
        <v>203</v>
      </c>
      <c r="B204" s="2">
        <v>45478</v>
      </c>
      <c r="C204" s="2">
        <v>45480</v>
      </c>
      <c r="D204">
        <v>2</v>
      </c>
      <c r="E204" t="s">
        <v>11</v>
      </c>
      <c r="F204" t="s">
        <v>9</v>
      </c>
      <c r="G204" t="s">
        <v>10</v>
      </c>
      <c r="H204">
        <f>IF(Table2[[#This Row],[on_time]]="Yes",1,0)</f>
        <v>1</v>
      </c>
    </row>
    <row r="205" spans="1:8">
      <c r="A205">
        <v>204</v>
      </c>
      <c r="B205" s="2">
        <v>45479</v>
      </c>
      <c r="C205" s="2">
        <v>45480</v>
      </c>
      <c r="D205">
        <v>1</v>
      </c>
      <c r="E205" t="s">
        <v>14</v>
      </c>
      <c r="F205" t="s">
        <v>12</v>
      </c>
      <c r="G205" t="s">
        <v>10</v>
      </c>
      <c r="H205">
        <f>IF(Table2[[#This Row],[on_time]]="Yes",1,0)</f>
        <v>1</v>
      </c>
    </row>
    <row r="206" spans="1:8">
      <c r="A206">
        <v>205</v>
      </c>
      <c r="B206" s="2">
        <v>45486</v>
      </c>
      <c r="C206" s="2">
        <v>45487</v>
      </c>
      <c r="D206">
        <v>1</v>
      </c>
      <c r="E206" t="s">
        <v>11</v>
      </c>
      <c r="F206" t="s">
        <v>9</v>
      </c>
      <c r="G206" t="s">
        <v>10</v>
      </c>
      <c r="H206">
        <f>IF(Table2[[#This Row],[on_time]]="Yes",1,0)</f>
        <v>1</v>
      </c>
    </row>
    <row r="207" spans="1:8">
      <c r="A207">
        <v>206</v>
      </c>
      <c r="B207" s="2">
        <v>45482</v>
      </c>
      <c r="C207" s="2">
        <v>45486</v>
      </c>
      <c r="D207">
        <v>4</v>
      </c>
      <c r="E207" t="s">
        <v>11</v>
      </c>
      <c r="F207" t="s">
        <v>12</v>
      </c>
      <c r="G207" t="s">
        <v>13</v>
      </c>
      <c r="H207">
        <f>IF(Table2[[#This Row],[on_time]]="Yes",1,0)</f>
        <v>0</v>
      </c>
    </row>
    <row r="208" spans="1:8">
      <c r="A208">
        <v>207</v>
      </c>
      <c r="B208" s="2">
        <v>45480</v>
      </c>
      <c r="C208" s="2">
        <v>45483</v>
      </c>
      <c r="D208">
        <v>3</v>
      </c>
      <c r="E208" t="s">
        <v>8</v>
      </c>
      <c r="F208" t="s">
        <v>9</v>
      </c>
      <c r="G208" t="s">
        <v>10</v>
      </c>
      <c r="H208">
        <f>IF(Table2[[#This Row],[on_time]]="Yes",1,0)</f>
        <v>1</v>
      </c>
    </row>
    <row r="209" spans="1:8">
      <c r="A209">
        <v>208</v>
      </c>
      <c r="B209" s="2">
        <v>45481</v>
      </c>
      <c r="C209" s="2">
        <v>45486</v>
      </c>
      <c r="D209">
        <v>5</v>
      </c>
      <c r="E209" t="s">
        <v>11</v>
      </c>
      <c r="F209" t="s">
        <v>15</v>
      </c>
      <c r="G209" t="s">
        <v>13</v>
      </c>
      <c r="H209">
        <f>IF(Table2[[#This Row],[on_time]]="Yes",1,0)</f>
        <v>0</v>
      </c>
    </row>
    <row r="210" spans="1:8">
      <c r="A210">
        <v>209</v>
      </c>
      <c r="B210" s="2">
        <v>45493</v>
      </c>
      <c r="C210" s="2">
        <v>45497</v>
      </c>
      <c r="D210">
        <v>4</v>
      </c>
      <c r="E210" t="s">
        <v>14</v>
      </c>
      <c r="F210" t="s">
        <v>12</v>
      </c>
      <c r="G210" t="s">
        <v>13</v>
      </c>
      <c r="H210">
        <f>IF(Table2[[#This Row],[on_time]]="Yes",1,0)</f>
        <v>0</v>
      </c>
    </row>
    <row r="211" spans="1:8">
      <c r="A211">
        <v>210</v>
      </c>
      <c r="B211" s="2">
        <v>45474</v>
      </c>
      <c r="C211" s="2">
        <v>45478</v>
      </c>
      <c r="D211">
        <v>4</v>
      </c>
      <c r="E211" t="s">
        <v>8</v>
      </c>
      <c r="F211" t="s">
        <v>15</v>
      </c>
      <c r="G211" t="s">
        <v>13</v>
      </c>
      <c r="H211">
        <f>IF(Table2[[#This Row],[on_time]]="Yes",1,0)</f>
        <v>0</v>
      </c>
    </row>
    <row r="212" spans="1:8">
      <c r="A212">
        <v>211</v>
      </c>
      <c r="B212" s="2">
        <v>45485</v>
      </c>
      <c r="C212" s="2">
        <v>45486</v>
      </c>
      <c r="D212">
        <v>1</v>
      </c>
      <c r="E212" t="s">
        <v>8</v>
      </c>
      <c r="F212" t="s">
        <v>12</v>
      </c>
      <c r="G212" t="s">
        <v>10</v>
      </c>
      <c r="H212">
        <f>IF(Table2[[#This Row],[on_time]]="Yes",1,0)</f>
        <v>1</v>
      </c>
    </row>
    <row r="213" spans="1:8">
      <c r="A213">
        <v>212</v>
      </c>
      <c r="B213" s="2">
        <v>45499</v>
      </c>
      <c r="C213" s="2">
        <v>45500</v>
      </c>
      <c r="D213">
        <v>1</v>
      </c>
      <c r="E213" t="s">
        <v>11</v>
      </c>
      <c r="F213" t="s">
        <v>12</v>
      </c>
      <c r="G213" t="s">
        <v>10</v>
      </c>
      <c r="H213">
        <f>IF(Table2[[#This Row],[on_time]]="Yes",1,0)</f>
        <v>1</v>
      </c>
    </row>
    <row r="214" spans="1:8">
      <c r="A214">
        <v>213</v>
      </c>
      <c r="B214" s="2">
        <v>45480</v>
      </c>
      <c r="C214" s="2">
        <v>45485</v>
      </c>
      <c r="D214">
        <v>5</v>
      </c>
      <c r="E214" t="s">
        <v>14</v>
      </c>
      <c r="F214" t="s">
        <v>9</v>
      </c>
      <c r="G214" t="s">
        <v>13</v>
      </c>
      <c r="H214">
        <f>IF(Table2[[#This Row],[on_time]]="Yes",1,0)</f>
        <v>0</v>
      </c>
    </row>
    <row r="215" spans="1:8">
      <c r="A215">
        <v>214</v>
      </c>
      <c r="B215" s="2">
        <v>45494</v>
      </c>
      <c r="C215" s="2">
        <v>45496</v>
      </c>
      <c r="D215">
        <v>2</v>
      </c>
      <c r="E215" t="s">
        <v>11</v>
      </c>
      <c r="F215" t="s">
        <v>12</v>
      </c>
      <c r="G215" t="s">
        <v>10</v>
      </c>
      <c r="H215">
        <f>IF(Table2[[#This Row],[on_time]]="Yes",1,0)</f>
        <v>1</v>
      </c>
    </row>
    <row r="216" spans="1:8">
      <c r="A216">
        <v>215</v>
      </c>
      <c r="B216" s="2">
        <v>45475</v>
      </c>
      <c r="C216" s="2">
        <v>45477</v>
      </c>
      <c r="D216">
        <v>2</v>
      </c>
      <c r="E216" t="s">
        <v>11</v>
      </c>
      <c r="F216" t="s">
        <v>9</v>
      </c>
      <c r="G216" t="s">
        <v>10</v>
      </c>
      <c r="H216">
        <f>IF(Table2[[#This Row],[on_time]]="Yes",1,0)</f>
        <v>1</v>
      </c>
    </row>
    <row r="217" spans="1:8">
      <c r="A217">
        <v>216</v>
      </c>
      <c r="B217" s="2">
        <v>45484</v>
      </c>
      <c r="C217" s="2">
        <v>45489</v>
      </c>
      <c r="D217">
        <v>5</v>
      </c>
      <c r="E217" t="s">
        <v>14</v>
      </c>
      <c r="F217" t="s">
        <v>12</v>
      </c>
      <c r="G217" t="s">
        <v>13</v>
      </c>
      <c r="H217">
        <f>IF(Table2[[#This Row],[on_time]]="Yes",1,0)</f>
        <v>0</v>
      </c>
    </row>
    <row r="218" spans="1:8">
      <c r="A218">
        <v>217</v>
      </c>
      <c r="B218" s="2">
        <v>45486</v>
      </c>
      <c r="C218" s="2">
        <v>45488</v>
      </c>
      <c r="D218">
        <v>2</v>
      </c>
      <c r="E218" t="s">
        <v>14</v>
      </c>
      <c r="F218" t="s">
        <v>12</v>
      </c>
      <c r="G218" t="s">
        <v>10</v>
      </c>
      <c r="H218">
        <f>IF(Table2[[#This Row],[on_time]]="Yes",1,0)</f>
        <v>1</v>
      </c>
    </row>
    <row r="219" spans="1:8">
      <c r="A219">
        <v>218</v>
      </c>
      <c r="B219" s="2">
        <v>45487</v>
      </c>
      <c r="C219" s="2">
        <v>45490</v>
      </c>
      <c r="D219">
        <v>3</v>
      </c>
      <c r="E219" t="s">
        <v>11</v>
      </c>
      <c r="F219" t="s">
        <v>15</v>
      </c>
      <c r="G219" t="s">
        <v>10</v>
      </c>
      <c r="H219">
        <f>IF(Table2[[#This Row],[on_time]]="Yes",1,0)</f>
        <v>1</v>
      </c>
    </row>
    <row r="220" spans="1:8">
      <c r="A220">
        <v>219</v>
      </c>
      <c r="B220" s="2">
        <v>45475</v>
      </c>
      <c r="C220" s="2">
        <v>45477</v>
      </c>
      <c r="D220">
        <v>2</v>
      </c>
      <c r="E220" t="s">
        <v>11</v>
      </c>
      <c r="F220" t="s">
        <v>12</v>
      </c>
      <c r="G220" t="s">
        <v>10</v>
      </c>
      <c r="H220">
        <f>IF(Table2[[#This Row],[on_time]]="Yes",1,0)</f>
        <v>1</v>
      </c>
    </row>
    <row r="221" spans="1:8">
      <c r="A221">
        <v>220</v>
      </c>
      <c r="B221" s="2">
        <v>45478</v>
      </c>
      <c r="C221" s="2">
        <v>45479</v>
      </c>
      <c r="D221">
        <v>1</v>
      </c>
      <c r="E221" t="s">
        <v>14</v>
      </c>
      <c r="F221" t="s">
        <v>12</v>
      </c>
      <c r="G221" t="s">
        <v>10</v>
      </c>
      <c r="H221">
        <f>IF(Table2[[#This Row],[on_time]]="Yes",1,0)</f>
        <v>1</v>
      </c>
    </row>
    <row r="222" spans="1:8">
      <c r="A222">
        <v>221</v>
      </c>
      <c r="B222" s="2">
        <v>45490</v>
      </c>
      <c r="C222" s="2">
        <v>45492</v>
      </c>
      <c r="D222">
        <v>2</v>
      </c>
      <c r="E222" t="s">
        <v>8</v>
      </c>
      <c r="F222" t="s">
        <v>12</v>
      </c>
      <c r="G222" t="s">
        <v>10</v>
      </c>
      <c r="H222">
        <f>IF(Table2[[#This Row],[on_time]]="Yes",1,0)</f>
        <v>1</v>
      </c>
    </row>
    <row r="223" spans="1:8">
      <c r="A223">
        <v>222</v>
      </c>
      <c r="B223" s="2">
        <v>45494</v>
      </c>
      <c r="C223" s="2">
        <v>45495</v>
      </c>
      <c r="D223">
        <v>1</v>
      </c>
      <c r="E223" t="s">
        <v>14</v>
      </c>
      <c r="F223" t="s">
        <v>15</v>
      </c>
      <c r="G223" t="s">
        <v>10</v>
      </c>
      <c r="H223">
        <f>IF(Table2[[#This Row],[on_time]]="Yes",1,0)</f>
        <v>1</v>
      </c>
    </row>
    <row r="224" spans="1:8">
      <c r="A224">
        <v>223</v>
      </c>
      <c r="B224" s="2">
        <v>45497</v>
      </c>
      <c r="C224" s="2">
        <v>45499</v>
      </c>
      <c r="D224">
        <v>2</v>
      </c>
      <c r="E224" t="s">
        <v>11</v>
      </c>
      <c r="F224" t="s">
        <v>9</v>
      </c>
      <c r="G224" t="s">
        <v>10</v>
      </c>
      <c r="H224">
        <f>IF(Table2[[#This Row],[on_time]]="Yes",1,0)</f>
        <v>1</v>
      </c>
    </row>
    <row r="225" spans="1:8">
      <c r="A225">
        <v>224</v>
      </c>
      <c r="B225" s="2">
        <v>45476</v>
      </c>
      <c r="C225" s="2">
        <v>45480</v>
      </c>
      <c r="D225">
        <v>4</v>
      </c>
      <c r="E225" t="s">
        <v>8</v>
      </c>
      <c r="F225" t="s">
        <v>12</v>
      </c>
      <c r="G225" t="s">
        <v>13</v>
      </c>
      <c r="H225">
        <f>IF(Table2[[#This Row],[on_time]]="Yes",1,0)</f>
        <v>0</v>
      </c>
    </row>
    <row r="226" spans="1:8">
      <c r="A226">
        <v>225</v>
      </c>
      <c r="B226" s="2">
        <v>45475</v>
      </c>
      <c r="C226" s="2">
        <v>45479</v>
      </c>
      <c r="D226">
        <v>4</v>
      </c>
      <c r="E226" t="s">
        <v>8</v>
      </c>
      <c r="F226" t="s">
        <v>9</v>
      </c>
      <c r="G226" t="s">
        <v>13</v>
      </c>
      <c r="H226">
        <f>IF(Table2[[#This Row],[on_time]]="Yes",1,0)</f>
        <v>0</v>
      </c>
    </row>
    <row r="227" spans="1:8">
      <c r="A227">
        <v>226</v>
      </c>
      <c r="B227" s="2">
        <v>45503</v>
      </c>
      <c r="C227" s="2">
        <v>45505</v>
      </c>
      <c r="D227">
        <v>2</v>
      </c>
      <c r="E227" t="s">
        <v>11</v>
      </c>
      <c r="F227" t="s">
        <v>9</v>
      </c>
      <c r="G227" t="s">
        <v>10</v>
      </c>
      <c r="H227">
        <f>IF(Table2[[#This Row],[on_time]]="Yes",1,0)</f>
        <v>1</v>
      </c>
    </row>
    <row r="228" spans="1:8">
      <c r="A228">
        <v>227</v>
      </c>
      <c r="B228" s="2">
        <v>45501</v>
      </c>
      <c r="C228" s="2">
        <v>45506</v>
      </c>
      <c r="D228">
        <v>5</v>
      </c>
      <c r="E228" t="s">
        <v>11</v>
      </c>
      <c r="F228" t="s">
        <v>15</v>
      </c>
      <c r="G228" t="s">
        <v>13</v>
      </c>
      <c r="H228">
        <f>IF(Table2[[#This Row],[on_time]]="Yes",1,0)</f>
        <v>0</v>
      </c>
    </row>
    <row r="229" spans="1:8">
      <c r="A229">
        <v>228</v>
      </c>
      <c r="B229" s="2">
        <v>45499</v>
      </c>
      <c r="C229" s="2">
        <v>45503</v>
      </c>
      <c r="D229">
        <v>4</v>
      </c>
      <c r="E229" t="s">
        <v>8</v>
      </c>
      <c r="F229" t="s">
        <v>9</v>
      </c>
      <c r="G229" t="s">
        <v>13</v>
      </c>
      <c r="H229">
        <f>IF(Table2[[#This Row],[on_time]]="Yes",1,0)</f>
        <v>0</v>
      </c>
    </row>
    <row r="230" spans="1:8">
      <c r="A230">
        <v>229</v>
      </c>
      <c r="B230" s="2">
        <v>45503</v>
      </c>
      <c r="C230" s="2">
        <v>45507</v>
      </c>
      <c r="D230">
        <v>4</v>
      </c>
      <c r="E230" t="s">
        <v>11</v>
      </c>
      <c r="F230" t="s">
        <v>12</v>
      </c>
      <c r="G230" t="s">
        <v>13</v>
      </c>
      <c r="H230">
        <f>IF(Table2[[#This Row],[on_time]]="Yes",1,0)</f>
        <v>0</v>
      </c>
    </row>
    <row r="231" spans="1:8">
      <c r="A231">
        <v>230</v>
      </c>
      <c r="B231" s="2">
        <v>45490</v>
      </c>
      <c r="C231" s="2">
        <v>45494</v>
      </c>
      <c r="D231">
        <v>4</v>
      </c>
      <c r="E231" t="s">
        <v>14</v>
      </c>
      <c r="F231" t="s">
        <v>12</v>
      </c>
      <c r="G231" t="s">
        <v>13</v>
      </c>
      <c r="H231">
        <f>IF(Table2[[#This Row],[on_time]]="Yes",1,0)</f>
        <v>0</v>
      </c>
    </row>
    <row r="232" spans="1:8">
      <c r="A232">
        <v>231</v>
      </c>
      <c r="B232" s="2">
        <v>45486</v>
      </c>
      <c r="C232" s="2">
        <v>45491</v>
      </c>
      <c r="D232">
        <v>5</v>
      </c>
      <c r="E232" t="s">
        <v>14</v>
      </c>
      <c r="F232" t="s">
        <v>9</v>
      </c>
      <c r="G232" t="s">
        <v>13</v>
      </c>
      <c r="H232">
        <f>IF(Table2[[#This Row],[on_time]]="Yes",1,0)</f>
        <v>0</v>
      </c>
    </row>
    <row r="233" spans="1:8">
      <c r="A233">
        <v>232</v>
      </c>
      <c r="B233" s="2">
        <v>45488</v>
      </c>
      <c r="C233" s="2">
        <v>45490</v>
      </c>
      <c r="D233">
        <v>2</v>
      </c>
      <c r="E233" t="s">
        <v>14</v>
      </c>
      <c r="F233" t="s">
        <v>12</v>
      </c>
      <c r="G233" t="s">
        <v>10</v>
      </c>
      <c r="H233">
        <f>IF(Table2[[#This Row],[on_time]]="Yes",1,0)</f>
        <v>1</v>
      </c>
    </row>
    <row r="234" spans="1:8">
      <c r="A234">
        <v>233</v>
      </c>
      <c r="B234" s="2">
        <v>45503</v>
      </c>
      <c r="C234" s="2">
        <v>45504</v>
      </c>
      <c r="D234">
        <v>1</v>
      </c>
      <c r="E234" t="s">
        <v>14</v>
      </c>
      <c r="F234" t="s">
        <v>9</v>
      </c>
      <c r="G234" t="s">
        <v>10</v>
      </c>
      <c r="H234">
        <f>IF(Table2[[#This Row],[on_time]]="Yes",1,0)</f>
        <v>1</v>
      </c>
    </row>
    <row r="235" spans="1:8">
      <c r="A235">
        <v>234</v>
      </c>
      <c r="B235" s="2">
        <v>45494</v>
      </c>
      <c r="C235" s="2">
        <v>45495</v>
      </c>
      <c r="D235">
        <v>1</v>
      </c>
      <c r="E235" t="s">
        <v>11</v>
      </c>
      <c r="F235" t="s">
        <v>12</v>
      </c>
      <c r="G235" t="s">
        <v>10</v>
      </c>
      <c r="H235">
        <f>IF(Table2[[#This Row],[on_time]]="Yes",1,0)</f>
        <v>1</v>
      </c>
    </row>
    <row r="236" spans="1:8">
      <c r="A236">
        <v>235</v>
      </c>
      <c r="B236" s="2">
        <v>45495</v>
      </c>
      <c r="C236" s="2">
        <v>45500</v>
      </c>
      <c r="D236">
        <v>5</v>
      </c>
      <c r="E236" t="s">
        <v>14</v>
      </c>
      <c r="F236" t="s">
        <v>9</v>
      </c>
      <c r="G236" t="s">
        <v>13</v>
      </c>
      <c r="H236">
        <f>IF(Table2[[#This Row],[on_time]]="Yes",1,0)</f>
        <v>0</v>
      </c>
    </row>
    <row r="237" spans="1:8">
      <c r="A237">
        <v>236</v>
      </c>
      <c r="B237" s="2">
        <v>45497</v>
      </c>
      <c r="C237" s="2">
        <v>45502</v>
      </c>
      <c r="D237">
        <v>5</v>
      </c>
      <c r="E237" t="s">
        <v>8</v>
      </c>
      <c r="F237" t="s">
        <v>9</v>
      </c>
      <c r="G237" t="s">
        <v>13</v>
      </c>
      <c r="H237">
        <f>IF(Table2[[#This Row],[on_time]]="Yes",1,0)</f>
        <v>0</v>
      </c>
    </row>
    <row r="238" spans="1:8">
      <c r="A238">
        <v>237</v>
      </c>
      <c r="B238" s="2">
        <v>45501</v>
      </c>
      <c r="C238" s="2">
        <v>45503</v>
      </c>
      <c r="D238">
        <v>2</v>
      </c>
      <c r="E238" t="s">
        <v>8</v>
      </c>
      <c r="F238" t="s">
        <v>12</v>
      </c>
      <c r="G238" t="s">
        <v>10</v>
      </c>
      <c r="H238">
        <f>IF(Table2[[#This Row],[on_time]]="Yes",1,0)</f>
        <v>1</v>
      </c>
    </row>
    <row r="239" spans="1:8">
      <c r="A239">
        <v>238</v>
      </c>
      <c r="B239" s="2">
        <v>45484</v>
      </c>
      <c r="C239" s="2">
        <v>45488</v>
      </c>
      <c r="D239">
        <v>4</v>
      </c>
      <c r="E239" t="s">
        <v>11</v>
      </c>
      <c r="F239" t="s">
        <v>12</v>
      </c>
      <c r="G239" t="s">
        <v>13</v>
      </c>
      <c r="H239">
        <f>IF(Table2[[#This Row],[on_time]]="Yes",1,0)</f>
        <v>0</v>
      </c>
    </row>
    <row r="240" spans="1:8">
      <c r="A240">
        <v>239</v>
      </c>
      <c r="B240" s="2">
        <v>45479</v>
      </c>
      <c r="C240" s="2">
        <v>45484</v>
      </c>
      <c r="D240">
        <v>5</v>
      </c>
      <c r="E240" t="s">
        <v>14</v>
      </c>
      <c r="F240" t="s">
        <v>9</v>
      </c>
      <c r="G240" t="s">
        <v>13</v>
      </c>
      <c r="H240">
        <f>IF(Table2[[#This Row],[on_time]]="Yes",1,0)</f>
        <v>0</v>
      </c>
    </row>
    <row r="241" spans="1:8">
      <c r="A241">
        <v>240</v>
      </c>
      <c r="B241" s="2">
        <v>45490</v>
      </c>
      <c r="C241" s="2">
        <v>45494</v>
      </c>
      <c r="D241">
        <v>4</v>
      </c>
      <c r="E241" t="s">
        <v>8</v>
      </c>
      <c r="F241" t="s">
        <v>12</v>
      </c>
      <c r="G241" t="s">
        <v>13</v>
      </c>
      <c r="H241">
        <f>IF(Table2[[#This Row],[on_time]]="Yes",1,0)</f>
        <v>0</v>
      </c>
    </row>
    <row r="242" spans="1:8">
      <c r="A242">
        <v>241</v>
      </c>
      <c r="B242" s="2">
        <v>45488</v>
      </c>
      <c r="C242" s="2">
        <v>45491</v>
      </c>
      <c r="D242">
        <v>3</v>
      </c>
      <c r="E242" t="s">
        <v>8</v>
      </c>
      <c r="F242" t="s">
        <v>15</v>
      </c>
      <c r="G242" t="s">
        <v>10</v>
      </c>
      <c r="H242">
        <f>IF(Table2[[#This Row],[on_time]]="Yes",1,0)</f>
        <v>1</v>
      </c>
    </row>
    <row r="243" spans="1:8">
      <c r="A243">
        <v>242</v>
      </c>
      <c r="B243" s="2">
        <v>45484</v>
      </c>
      <c r="C243" s="2">
        <v>45489</v>
      </c>
      <c r="D243">
        <v>5</v>
      </c>
      <c r="E243" t="s">
        <v>11</v>
      </c>
      <c r="F243" t="s">
        <v>9</v>
      </c>
      <c r="G243" t="s">
        <v>13</v>
      </c>
      <c r="H243">
        <f>IF(Table2[[#This Row],[on_time]]="Yes",1,0)</f>
        <v>0</v>
      </c>
    </row>
    <row r="244" spans="1:8">
      <c r="A244">
        <v>243</v>
      </c>
      <c r="B244" s="2">
        <v>45484</v>
      </c>
      <c r="C244" s="2">
        <v>45489</v>
      </c>
      <c r="D244">
        <v>5</v>
      </c>
      <c r="E244" t="s">
        <v>14</v>
      </c>
      <c r="F244" t="s">
        <v>15</v>
      </c>
      <c r="G244" t="s">
        <v>13</v>
      </c>
      <c r="H244">
        <f>IF(Table2[[#This Row],[on_time]]="Yes",1,0)</f>
        <v>0</v>
      </c>
    </row>
    <row r="245" spans="1:8">
      <c r="A245">
        <v>244</v>
      </c>
      <c r="B245" s="2">
        <v>45498</v>
      </c>
      <c r="C245" s="2">
        <v>45499</v>
      </c>
      <c r="D245">
        <v>1</v>
      </c>
      <c r="E245" t="s">
        <v>11</v>
      </c>
      <c r="F245" t="s">
        <v>9</v>
      </c>
      <c r="G245" t="s">
        <v>10</v>
      </c>
      <c r="H245">
        <f>IF(Table2[[#This Row],[on_time]]="Yes",1,0)</f>
        <v>1</v>
      </c>
    </row>
    <row r="246" spans="1:8">
      <c r="A246">
        <v>245</v>
      </c>
      <c r="B246" s="2">
        <v>45500</v>
      </c>
      <c r="C246" s="2">
        <v>45501</v>
      </c>
      <c r="D246">
        <v>1</v>
      </c>
      <c r="E246" t="s">
        <v>14</v>
      </c>
      <c r="F246" t="s">
        <v>12</v>
      </c>
      <c r="G246" t="s">
        <v>10</v>
      </c>
      <c r="H246">
        <f>IF(Table2[[#This Row],[on_time]]="Yes",1,0)</f>
        <v>1</v>
      </c>
    </row>
    <row r="247" spans="1:8">
      <c r="A247">
        <v>246</v>
      </c>
      <c r="B247" s="2">
        <v>45474</v>
      </c>
      <c r="C247" s="2">
        <v>45478</v>
      </c>
      <c r="D247">
        <v>4</v>
      </c>
      <c r="E247" t="s">
        <v>8</v>
      </c>
      <c r="F247" t="s">
        <v>9</v>
      </c>
      <c r="G247" t="s">
        <v>13</v>
      </c>
      <c r="H247">
        <f>IF(Table2[[#This Row],[on_time]]="Yes",1,0)</f>
        <v>0</v>
      </c>
    </row>
    <row r="248" spans="1:8">
      <c r="A248">
        <v>247</v>
      </c>
      <c r="B248" s="2">
        <v>45492</v>
      </c>
      <c r="C248" s="2">
        <v>45494</v>
      </c>
      <c r="D248">
        <v>2</v>
      </c>
      <c r="E248" t="s">
        <v>8</v>
      </c>
      <c r="F248" t="s">
        <v>9</v>
      </c>
      <c r="G248" t="s">
        <v>10</v>
      </c>
      <c r="H248">
        <f>IF(Table2[[#This Row],[on_time]]="Yes",1,0)</f>
        <v>1</v>
      </c>
    </row>
    <row r="249" spans="1:8">
      <c r="A249">
        <v>248</v>
      </c>
      <c r="B249" s="2">
        <v>45498</v>
      </c>
      <c r="C249" s="2">
        <v>45503</v>
      </c>
      <c r="D249">
        <v>5</v>
      </c>
      <c r="E249" t="s">
        <v>11</v>
      </c>
      <c r="F249" t="s">
        <v>9</v>
      </c>
      <c r="G249" t="s">
        <v>13</v>
      </c>
      <c r="H249">
        <f>IF(Table2[[#This Row],[on_time]]="Yes",1,0)</f>
        <v>0</v>
      </c>
    </row>
    <row r="250" spans="1:8">
      <c r="A250">
        <v>249</v>
      </c>
      <c r="B250" s="2">
        <v>45499</v>
      </c>
      <c r="C250" s="2">
        <v>45500</v>
      </c>
      <c r="D250">
        <v>1</v>
      </c>
      <c r="E250" t="s">
        <v>11</v>
      </c>
      <c r="F250" t="s">
        <v>15</v>
      </c>
      <c r="G250" t="s">
        <v>10</v>
      </c>
      <c r="H250">
        <f>IF(Table2[[#This Row],[on_time]]="Yes",1,0)</f>
        <v>1</v>
      </c>
    </row>
    <row r="251" spans="1:8">
      <c r="A251">
        <v>250</v>
      </c>
      <c r="B251" s="2">
        <v>45501</v>
      </c>
      <c r="C251" s="2">
        <v>45502</v>
      </c>
      <c r="D251">
        <v>1</v>
      </c>
      <c r="E251" t="s">
        <v>14</v>
      </c>
      <c r="F251" t="s">
        <v>12</v>
      </c>
      <c r="G251" t="s">
        <v>10</v>
      </c>
      <c r="H251">
        <f>IF(Table2[[#This Row],[on_time]]="Yes",1,0)</f>
        <v>1</v>
      </c>
    </row>
    <row r="252" spans="1:8">
      <c r="A252">
        <v>251</v>
      </c>
      <c r="B252" s="2">
        <v>45480</v>
      </c>
      <c r="C252" s="2">
        <v>45482</v>
      </c>
      <c r="D252">
        <v>2</v>
      </c>
      <c r="E252" t="s">
        <v>11</v>
      </c>
      <c r="F252" t="s">
        <v>9</v>
      </c>
      <c r="G252" t="s">
        <v>10</v>
      </c>
      <c r="H252">
        <f>IF(Table2[[#This Row],[on_time]]="Yes",1,0)</f>
        <v>1</v>
      </c>
    </row>
    <row r="253" spans="1:8">
      <c r="A253">
        <v>252</v>
      </c>
      <c r="B253" s="2">
        <v>45491</v>
      </c>
      <c r="C253" s="2">
        <v>45492</v>
      </c>
      <c r="D253">
        <v>1</v>
      </c>
      <c r="E253" t="s">
        <v>14</v>
      </c>
      <c r="F253" t="s">
        <v>12</v>
      </c>
      <c r="G253" t="s">
        <v>10</v>
      </c>
      <c r="H253">
        <f>IF(Table2[[#This Row],[on_time]]="Yes",1,0)</f>
        <v>1</v>
      </c>
    </row>
    <row r="254" spans="1:8">
      <c r="A254">
        <v>253</v>
      </c>
      <c r="B254" s="2">
        <v>45478</v>
      </c>
      <c r="C254" s="2">
        <v>45483</v>
      </c>
      <c r="D254">
        <v>5</v>
      </c>
      <c r="E254" t="s">
        <v>14</v>
      </c>
      <c r="F254" t="s">
        <v>15</v>
      </c>
      <c r="G254" t="s">
        <v>13</v>
      </c>
      <c r="H254">
        <f>IF(Table2[[#This Row],[on_time]]="Yes",1,0)</f>
        <v>0</v>
      </c>
    </row>
    <row r="255" spans="1:8">
      <c r="A255">
        <v>254</v>
      </c>
      <c r="B255" s="2">
        <v>45500</v>
      </c>
      <c r="C255" s="2">
        <v>45503</v>
      </c>
      <c r="D255">
        <v>3</v>
      </c>
      <c r="E255" t="s">
        <v>8</v>
      </c>
      <c r="F255" t="s">
        <v>12</v>
      </c>
      <c r="G255" t="s">
        <v>10</v>
      </c>
      <c r="H255">
        <f>IF(Table2[[#This Row],[on_time]]="Yes",1,0)</f>
        <v>1</v>
      </c>
    </row>
    <row r="256" spans="1:8">
      <c r="A256">
        <v>255</v>
      </c>
      <c r="B256" s="2">
        <v>45478</v>
      </c>
      <c r="C256" s="2">
        <v>45483</v>
      </c>
      <c r="D256">
        <v>5</v>
      </c>
      <c r="E256" t="s">
        <v>14</v>
      </c>
      <c r="F256" t="s">
        <v>15</v>
      </c>
      <c r="G256" t="s">
        <v>13</v>
      </c>
      <c r="H256">
        <f>IF(Table2[[#This Row],[on_time]]="Yes",1,0)</f>
        <v>0</v>
      </c>
    </row>
    <row r="257" spans="1:8">
      <c r="A257">
        <v>256</v>
      </c>
      <c r="B257" s="2">
        <v>45479</v>
      </c>
      <c r="C257" s="2">
        <v>45483</v>
      </c>
      <c r="D257">
        <v>4</v>
      </c>
      <c r="E257" t="s">
        <v>8</v>
      </c>
      <c r="F257" t="s">
        <v>12</v>
      </c>
      <c r="G257" t="s">
        <v>13</v>
      </c>
      <c r="H257">
        <f>IF(Table2[[#This Row],[on_time]]="Yes",1,0)</f>
        <v>0</v>
      </c>
    </row>
    <row r="258" spans="1:8">
      <c r="A258">
        <v>257</v>
      </c>
      <c r="B258" s="2">
        <v>45489</v>
      </c>
      <c r="C258" s="2">
        <v>45493</v>
      </c>
      <c r="D258">
        <v>4</v>
      </c>
      <c r="E258" t="s">
        <v>11</v>
      </c>
      <c r="F258" t="s">
        <v>12</v>
      </c>
      <c r="G258" t="s">
        <v>13</v>
      </c>
      <c r="H258">
        <f>IF(Table2[[#This Row],[on_time]]="Yes",1,0)</f>
        <v>0</v>
      </c>
    </row>
    <row r="259" spans="1:8">
      <c r="A259">
        <v>258</v>
      </c>
      <c r="B259" s="2">
        <v>45474</v>
      </c>
      <c r="C259" s="2">
        <v>45478</v>
      </c>
      <c r="D259">
        <v>4</v>
      </c>
      <c r="E259" t="s">
        <v>14</v>
      </c>
      <c r="F259" t="s">
        <v>12</v>
      </c>
      <c r="G259" t="s">
        <v>13</v>
      </c>
      <c r="H259">
        <f>IF(Table2[[#This Row],[on_time]]="Yes",1,0)</f>
        <v>0</v>
      </c>
    </row>
    <row r="260" spans="1:8">
      <c r="A260">
        <v>259</v>
      </c>
      <c r="B260" s="2">
        <v>45487</v>
      </c>
      <c r="C260" s="2">
        <v>45490</v>
      </c>
      <c r="D260">
        <v>3</v>
      </c>
      <c r="E260" t="s">
        <v>8</v>
      </c>
      <c r="F260" t="s">
        <v>12</v>
      </c>
      <c r="G260" t="s">
        <v>10</v>
      </c>
      <c r="H260">
        <f>IF(Table2[[#This Row],[on_time]]="Yes",1,0)</f>
        <v>1</v>
      </c>
    </row>
    <row r="261" spans="1:8">
      <c r="A261">
        <v>260</v>
      </c>
      <c r="B261" s="2">
        <v>45479</v>
      </c>
      <c r="C261" s="2">
        <v>45484</v>
      </c>
      <c r="D261">
        <v>5</v>
      </c>
      <c r="E261" t="s">
        <v>11</v>
      </c>
      <c r="F261" t="s">
        <v>9</v>
      </c>
      <c r="G261" t="s">
        <v>13</v>
      </c>
      <c r="H261">
        <f>IF(Table2[[#This Row],[on_time]]="Yes",1,0)</f>
        <v>0</v>
      </c>
    </row>
    <row r="262" spans="1:8">
      <c r="A262">
        <v>261</v>
      </c>
      <c r="B262" s="2">
        <v>45493</v>
      </c>
      <c r="C262" s="2">
        <v>45495</v>
      </c>
      <c r="D262">
        <v>2</v>
      </c>
      <c r="E262" t="s">
        <v>11</v>
      </c>
      <c r="F262" t="s">
        <v>12</v>
      </c>
      <c r="G262" t="s">
        <v>10</v>
      </c>
      <c r="H262">
        <f>IF(Table2[[#This Row],[on_time]]="Yes",1,0)</f>
        <v>1</v>
      </c>
    </row>
    <row r="263" spans="1:8">
      <c r="A263">
        <v>262</v>
      </c>
      <c r="B263" s="2">
        <v>45484</v>
      </c>
      <c r="C263" s="2">
        <v>45489</v>
      </c>
      <c r="D263">
        <v>5</v>
      </c>
      <c r="E263" t="s">
        <v>8</v>
      </c>
      <c r="F263" t="s">
        <v>9</v>
      </c>
      <c r="G263" t="s">
        <v>13</v>
      </c>
      <c r="H263">
        <f>IF(Table2[[#This Row],[on_time]]="Yes",1,0)</f>
        <v>0</v>
      </c>
    </row>
    <row r="264" spans="1:8">
      <c r="A264">
        <v>263</v>
      </c>
      <c r="B264" s="2">
        <v>45503</v>
      </c>
      <c r="C264" s="2">
        <v>45508</v>
      </c>
      <c r="D264">
        <v>5</v>
      </c>
      <c r="E264" t="s">
        <v>14</v>
      </c>
      <c r="F264" t="s">
        <v>15</v>
      </c>
      <c r="G264" t="s">
        <v>13</v>
      </c>
      <c r="H264">
        <f>IF(Table2[[#This Row],[on_time]]="Yes",1,0)</f>
        <v>0</v>
      </c>
    </row>
    <row r="265" spans="1:8">
      <c r="A265">
        <v>264</v>
      </c>
      <c r="B265" s="2">
        <v>45476</v>
      </c>
      <c r="C265" s="2">
        <v>45477</v>
      </c>
      <c r="D265">
        <v>1</v>
      </c>
      <c r="E265" t="s">
        <v>14</v>
      </c>
      <c r="F265" t="s">
        <v>15</v>
      </c>
      <c r="G265" t="s">
        <v>10</v>
      </c>
      <c r="H265">
        <f>IF(Table2[[#This Row],[on_time]]="Yes",1,0)</f>
        <v>1</v>
      </c>
    </row>
    <row r="266" spans="1:8">
      <c r="A266">
        <v>265</v>
      </c>
      <c r="B266" s="2">
        <v>45501</v>
      </c>
      <c r="C266" s="2">
        <v>45503</v>
      </c>
      <c r="D266">
        <v>2</v>
      </c>
      <c r="E266" t="s">
        <v>8</v>
      </c>
      <c r="F266" t="s">
        <v>9</v>
      </c>
      <c r="G266" t="s">
        <v>10</v>
      </c>
      <c r="H266">
        <f>IF(Table2[[#This Row],[on_time]]="Yes",1,0)</f>
        <v>1</v>
      </c>
    </row>
    <row r="267" spans="1:8">
      <c r="A267">
        <v>266</v>
      </c>
      <c r="B267" s="2">
        <v>45497</v>
      </c>
      <c r="C267" s="2">
        <v>45499</v>
      </c>
      <c r="D267">
        <v>2</v>
      </c>
      <c r="E267" t="s">
        <v>11</v>
      </c>
      <c r="F267" t="s">
        <v>12</v>
      </c>
      <c r="G267" t="s">
        <v>10</v>
      </c>
      <c r="H267">
        <f>IF(Table2[[#This Row],[on_time]]="Yes",1,0)</f>
        <v>1</v>
      </c>
    </row>
    <row r="268" spans="1:8">
      <c r="A268">
        <v>267</v>
      </c>
      <c r="B268" s="2">
        <v>45497</v>
      </c>
      <c r="C268" s="2">
        <v>45500</v>
      </c>
      <c r="D268">
        <v>3</v>
      </c>
      <c r="E268" t="s">
        <v>8</v>
      </c>
      <c r="F268" t="s">
        <v>12</v>
      </c>
      <c r="G268" t="s">
        <v>10</v>
      </c>
      <c r="H268">
        <f>IF(Table2[[#This Row],[on_time]]="Yes",1,0)</f>
        <v>1</v>
      </c>
    </row>
    <row r="269" spans="1:8">
      <c r="A269">
        <v>268</v>
      </c>
      <c r="B269" s="2">
        <v>45501</v>
      </c>
      <c r="C269" s="2">
        <v>45502</v>
      </c>
      <c r="D269">
        <v>1</v>
      </c>
      <c r="E269" t="s">
        <v>11</v>
      </c>
      <c r="F269" t="s">
        <v>9</v>
      </c>
      <c r="G269" t="s">
        <v>10</v>
      </c>
      <c r="H269">
        <f>IF(Table2[[#This Row],[on_time]]="Yes",1,0)</f>
        <v>1</v>
      </c>
    </row>
    <row r="270" spans="1:8">
      <c r="A270">
        <v>269</v>
      </c>
      <c r="B270" s="2">
        <v>45480</v>
      </c>
      <c r="C270" s="2">
        <v>45485</v>
      </c>
      <c r="D270">
        <v>5</v>
      </c>
      <c r="E270" t="s">
        <v>11</v>
      </c>
      <c r="F270" t="s">
        <v>15</v>
      </c>
      <c r="G270" t="s">
        <v>13</v>
      </c>
      <c r="H270">
        <f>IF(Table2[[#This Row],[on_time]]="Yes",1,0)</f>
        <v>0</v>
      </c>
    </row>
    <row r="271" spans="1:8">
      <c r="A271">
        <v>270</v>
      </c>
      <c r="B271" s="2">
        <v>45475</v>
      </c>
      <c r="C271" s="2">
        <v>45480</v>
      </c>
      <c r="D271">
        <v>5</v>
      </c>
      <c r="E271" t="s">
        <v>11</v>
      </c>
      <c r="F271" t="s">
        <v>15</v>
      </c>
      <c r="G271" t="s">
        <v>13</v>
      </c>
      <c r="H271">
        <f>IF(Table2[[#This Row],[on_time]]="Yes",1,0)</f>
        <v>0</v>
      </c>
    </row>
    <row r="272" spans="1:8">
      <c r="A272">
        <v>271</v>
      </c>
      <c r="B272" s="2">
        <v>45485</v>
      </c>
      <c r="C272" s="2">
        <v>45486</v>
      </c>
      <c r="D272">
        <v>1</v>
      </c>
      <c r="E272" t="s">
        <v>8</v>
      </c>
      <c r="F272" t="s">
        <v>15</v>
      </c>
      <c r="G272" t="s">
        <v>10</v>
      </c>
      <c r="H272">
        <f>IF(Table2[[#This Row],[on_time]]="Yes",1,0)</f>
        <v>1</v>
      </c>
    </row>
    <row r="273" spans="1:8">
      <c r="A273">
        <v>272</v>
      </c>
      <c r="B273" s="2">
        <v>45488</v>
      </c>
      <c r="C273" s="2">
        <v>45491</v>
      </c>
      <c r="D273">
        <v>3</v>
      </c>
      <c r="E273" t="s">
        <v>8</v>
      </c>
      <c r="F273" t="s">
        <v>15</v>
      </c>
      <c r="G273" t="s">
        <v>10</v>
      </c>
      <c r="H273">
        <f>IF(Table2[[#This Row],[on_time]]="Yes",1,0)</f>
        <v>1</v>
      </c>
    </row>
    <row r="274" spans="1:8">
      <c r="A274">
        <v>273</v>
      </c>
      <c r="B274" s="2">
        <v>45498</v>
      </c>
      <c r="C274" s="2">
        <v>45503</v>
      </c>
      <c r="D274">
        <v>5</v>
      </c>
      <c r="E274" t="s">
        <v>8</v>
      </c>
      <c r="F274" t="s">
        <v>12</v>
      </c>
      <c r="G274" t="s">
        <v>13</v>
      </c>
      <c r="H274">
        <f>IF(Table2[[#This Row],[on_time]]="Yes",1,0)</f>
        <v>0</v>
      </c>
    </row>
    <row r="275" spans="1:8">
      <c r="A275">
        <v>274</v>
      </c>
      <c r="B275" s="2">
        <v>45491</v>
      </c>
      <c r="C275" s="2">
        <v>45493</v>
      </c>
      <c r="D275">
        <v>2</v>
      </c>
      <c r="E275" t="s">
        <v>8</v>
      </c>
      <c r="F275" t="s">
        <v>12</v>
      </c>
      <c r="G275" t="s">
        <v>10</v>
      </c>
      <c r="H275">
        <f>IF(Table2[[#This Row],[on_time]]="Yes",1,0)</f>
        <v>1</v>
      </c>
    </row>
    <row r="276" spans="1:8">
      <c r="A276">
        <v>275</v>
      </c>
      <c r="B276" s="2">
        <v>45475</v>
      </c>
      <c r="C276" s="2">
        <v>45477</v>
      </c>
      <c r="D276">
        <v>2</v>
      </c>
      <c r="E276" t="s">
        <v>8</v>
      </c>
      <c r="F276" t="s">
        <v>12</v>
      </c>
      <c r="G276" t="s">
        <v>10</v>
      </c>
      <c r="H276">
        <f>IF(Table2[[#This Row],[on_time]]="Yes",1,0)</f>
        <v>1</v>
      </c>
    </row>
    <row r="277" spans="1:8">
      <c r="A277">
        <v>276</v>
      </c>
      <c r="B277" s="2">
        <v>45474</v>
      </c>
      <c r="C277" s="2">
        <v>45478</v>
      </c>
      <c r="D277">
        <v>4</v>
      </c>
      <c r="E277" t="s">
        <v>14</v>
      </c>
      <c r="F277" t="s">
        <v>12</v>
      </c>
      <c r="G277" t="s">
        <v>13</v>
      </c>
      <c r="H277">
        <f>IF(Table2[[#This Row],[on_time]]="Yes",1,0)</f>
        <v>0</v>
      </c>
    </row>
    <row r="278" spans="1:8">
      <c r="A278">
        <v>277</v>
      </c>
      <c r="B278" s="2">
        <v>45478</v>
      </c>
      <c r="C278" s="2">
        <v>45483</v>
      </c>
      <c r="D278">
        <v>5</v>
      </c>
      <c r="E278" t="s">
        <v>8</v>
      </c>
      <c r="F278" t="s">
        <v>12</v>
      </c>
      <c r="G278" t="s">
        <v>13</v>
      </c>
      <c r="H278">
        <f>IF(Table2[[#This Row],[on_time]]="Yes",1,0)</f>
        <v>0</v>
      </c>
    </row>
    <row r="279" spans="1:8">
      <c r="A279">
        <v>278</v>
      </c>
      <c r="B279" s="2">
        <v>45492</v>
      </c>
      <c r="C279" s="2">
        <v>45494</v>
      </c>
      <c r="D279">
        <v>2</v>
      </c>
      <c r="E279" t="s">
        <v>11</v>
      </c>
      <c r="F279" t="s">
        <v>12</v>
      </c>
      <c r="G279" t="s">
        <v>10</v>
      </c>
      <c r="H279">
        <f>IF(Table2[[#This Row],[on_time]]="Yes",1,0)</f>
        <v>1</v>
      </c>
    </row>
    <row r="280" spans="1:8">
      <c r="A280">
        <v>279</v>
      </c>
      <c r="B280" s="2">
        <v>45476</v>
      </c>
      <c r="C280" s="2">
        <v>45480</v>
      </c>
      <c r="D280">
        <v>4</v>
      </c>
      <c r="E280" t="s">
        <v>14</v>
      </c>
      <c r="F280" t="s">
        <v>15</v>
      </c>
      <c r="G280" t="s">
        <v>13</v>
      </c>
      <c r="H280">
        <f>IF(Table2[[#This Row],[on_time]]="Yes",1,0)</f>
        <v>0</v>
      </c>
    </row>
    <row r="281" spans="1:8">
      <c r="A281">
        <v>280</v>
      </c>
      <c r="B281" s="2">
        <v>45486</v>
      </c>
      <c r="C281" s="2">
        <v>45488</v>
      </c>
      <c r="D281">
        <v>2</v>
      </c>
      <c r="E281" t="s">
        <v>14</v>
      </c>
      <c r="F281" t="s">
        <v>15</v>
      </c>
      <c r="G281" t="s">
        <v>10</v>
      </c>
      <c r="H281">
        <f>IF(Table2[[#This Row],[on_time]]="Yes",1,0)</f>
        <v>1</v>
      </c>
    </row>
    <row r="282" spans="1:8">
      <c r="A282">
        <v>281</v>
      </c>
      <c r="B282" s="2">
        <v>45493</v>
      </c>
      <c r="C282" s="2">
        <v>45496</v>
      </c>
      <c r="D282">
        <v>3</v>
      </c>
      <c r="E282" t="s">
        <v>11</v>
      </c>
      <c r="F282" t="s">
        <v>12</v>
      </c>
      <c r="G282" t="s">
        <v>10</v>
      </c>
      <c r="H282">
        <f>IF(Table2[[#This Row],[on_time]]="Yes",1,0)</f>
        <v>1</v>
      </c>
    </row>
    <row r="283" spans="1:8">
      <c r="A283">
        <v>282</v>
      </c>
      <c r="B283" s="2">
        <v>45494</v>
      </c>
      <c r="C283" s="2">
        <v>45499</v>
      </c>
      <c r="D283">
        <v>5</v>
      </c>
      <c r="E283" t="s">
        <v>14</v>
      </c>
      <c r="F283" t="s">
        <v>15</v>
      </c>
      <c r="G283" t="s">
        <v>13</v>
      </c>
      <c r="H283">
        <f>IF(Table2[[#This Row],[on_time]]="Yes",1,0)</f>
        <v>0</v>
      </c>
    </row>
    <row r="284" spans="1:8">
      <c r="A284">
        <v>283</v>
      </c>
      <c r="B284" s="2">
        <v>45474</v>
      </c>
      <c r="C284" s="2">
        <v>45477</v>
      </c>
      <c r="D284">
        <v>3</v>
      </c>
      <c r="E284" t="s">
        <v>11</v>
      </c>
      <c r="F284" t="s">
        <v>9</v>
      </c>
      <c r="G284" t="s">
        <v>10</v>
      </c>
      <c r="H284">
        <f>IF(Table2[[#This Row],[on_time]]="Yes",1,0)</f>
        <v>1</v>
      </c>
    </row>
    <row r="285" spans="1:8">
      <c r="A285">
        <v>284</v>
      </c>
      <c r="B285" s="2">
        <v>45480</v>
      </c>
      <c r="C285" s="2">
        <v>45481</v>
      </c>
      <c r="D285">
        <v>1</v>
      </c>
      <c r="E285" t="s">
        <v>14</v>
      </c>
      <c r="F285" t="s">
        <v>15</v>
      </c>
      <c r="G285" t="s">
        <v>10</v>
      </c>
      <c r="H285">
        <f>IF(Table2[[#This Row],[on_time]]="Yes",1,0)</f>
        <v>1</v>
      </c>
    </row>
    <row r="286" spans="1:8">
      <c r="A286">
        <v>285</v>
      </c>
      <c r="B286" s="2">
        <v>45474</v>
      </c>
      <c r="C286" s="2">
        <v>45475</v>
      </c>
      <c r="D286">
        <v>1</v>
      </c>
      <c r="E286" t="s">
        <v>8</v>
      </c>
      <c r="F286" t="s">
        <v>9</v>
      </c>
      <c r="G286" t="s">
        <v>10</v>
      </c>
      <c r="H286">
        <f>IF(Table2[[#This Row],[on_time]]="Yes",1,0)</f>
        <v>1</v>
      </c>
    </row>
    <row r="287" spans="1:8">
      <c r="A287">
        <v>286</v>
      </c>
      <c r="B287" s="2">
        <v>45495</v>
      </c>
      <c r="C287" s="2">
        <v>45500</v>
      </c>
      <c r="D287">
        <v>5</v>
      </c>
      <c r="E287" t="s">
        <v>11</v>
      </c>
      <c r="F287" t="s">
        <v>15</v>
      </c>
      <c r="G287" t="s">
        <v>13</v>
      </c>
      <c r="H287">
        <f>IF(Table2[[#This Row],[on_time]]="Yes",1,0)</f>
        <v>0</v>
      </c>
    </row>
    <row r="288" spans="1:8">
      <c r="A288">
        <v>287</v>
      </c>
      <c r="B288" s="2">
        <v>45488</v>
      </c>
      <c r="C288" s="2">
        <v>45493</v>
      </c>
      <c r="D288">
        <v>5</v>
      </c>
      <c r="E288" t="s">
        <v>14</v>
      </c>
      <c r="F288" t="s">
        <v>15</v>
      </c>
      <c r="G288" t="s">
        <v>13</v>
      </c>
      <c r="H288">
        <f>IF(Table2[[#This Row],[on_time]]="Yes",1,0)</f>
        <v>0</v>
      </c>
    </row>
    <row r="289" spans="1:8">
      <c r="A289">
        <v>288</v>
      </c>
      <c r="B289" s="2">
        <v>45492</v>
      </c>
      <c r="C289" s="2">
        <v>45497</v>
      </c>
      <c r="D289">
        <v>5</v>
      </c>
      <c r="E289" t="s">
        <v>11</v>
      </c>
      <c r="F289" t="s">
        <v>15</v>
      </c>
      <c r="G289" t="s">
        <v>13</v>
      </c>
      <c r="H289">
        <f>IF(Table2[[#This Row],[on_time]]="Yes",1,0)</f>
        <v>0</v>
      </c>
    </row>
    <row r="290" spans="1:8">
      <c r="A290">
        <v>289</v>
      </c>
      <c r="B290" s="2">
        <v>45499</v>
      </c>
      <c r="C290" s="2">
        <v>45502</v>
      </c>
      <c r="D290">
        <v>3</v>
      </c>
      <c r="E290" t="s">
        <v>11</v>
      </c>
      <c r="F290" t="s">
        <v>15</v>
      </c>
      <c r="G290" t="s">
        <v>10</v>
      </c>
      <c r="H290">
        <f>IF(Table2[[#This Row],[on_time]]="Yes",1,0)</f>
        <v>1</v>
      </c>
    </row>
    <row r="291" spans="1:8">
      <c r="A291">
        <v>290</v>
      </c>
      <c r="B291" s="2">
        <v>45478</v>
      </c>
      <c r="C291" s="2">
        <v>45479</v>
      </c>
      <c r="D291">
        <v>1</v>
      </c>
      <c r="E291" t="s">
        <v>8</v>
      </c>
      <c r="F291" t="s">
        <v>9</v>
      </c>
      <c r="G291" t="s">
        <v>10</v>
      </c>
      <c r="H291">
        <f>IF(Table2[[#This Row],[on_time]]="Yes",1,0)</f>
        <v>1</v>
      </c>
    </row>
    <row r="292" spans="1:8">
      <c r="A292">
        <v>291</v>
      </c>
      <c r="B292" s="2">
        <v>45502</v>
      </c>
      <c r="C292" s="2">
        <v>45503</v>
      </c>
      <c r="D292">
        <v>1</v>
      </c>
      <c r="E292" t="s">
        <v>14</v>
      </c>
      <c r="F292" t="s">
        <v>9</v>
      </c>
      <c r="G292" t="s">
        <v>10</v>
      </c>
      <c r="H292">
        <f>IF(Table2[[#This Row],[on_time]]="Yes",1,0)</f>
        <v>1</v>
      </c>
    </row>
    <row r="293" spans="1:8">
      <c r="A293">
        <v>292</v>
      </c>
      <c r="B293" s="2">
        <v>45482</v>
      </c>
      <c r="C293" s="2">
        <v>45487</v>
      </c>
      <c r="D293">
        <v>5</v>
      </c>
      <c r="E293" t="s">
        <v>11</v>
      </c>
      <c r="F293" t="s">
        <v>9</v>
      </c>
      <c r="G293" t="s">
        <v>13</v>
      </c>
      <c r="H293">
        <f>IF(Table2[[#This Row],[on_time]]="Yes",1,0)</f>
        <v>0</v>
      </c>
    </row>
    <row r="294" spans="1:8">
      <c r="A294">
        <v>293</v>
      </c>
      <c r="B294" s="2">
        <v>45501</v>
      </c>
      <c r="C294" s="2">
        <v>45506</v>
      </c>
      <c r="D294">
        <v>5</v>
      </c>
      <c r="E294" t="s">
        <v>8</v>
      </c>
      <c r="F294" t="s">
        <v>12</v>
      </c>
      <c r="G294" t="s">
        <v>13</v>
      </c>
      <c r="H294">
        <f>IF(Table2[[#This Row],[on_time]]="Yes",1,0)</f>
        <v>0</v>
      </c>
    </row>
    <row r="295" spans="1:8">
      <c r="A295">
        <v>294</v>
      </c>
      <c r="B295" s="2">
        <v>45495</v>
      </c>
      <c r="C295" s="2">
        <v>45500</v>
      </c>
      <c r="D295">
        <v>5</v>
      </c>
      <c r="E295" t="s">
        <v>11</v>
      </c>
      <c r="F295" t="s">
        <v>9</v>
      </c>
      <c r="G295" t="s">
        <v>13</v>
      </c>
      <c r="H295">
        <f>IF(Table2[[#This Row],[on_time]]="Yes",1,0)</f>
        <v>0</v>
      </c>
    </row>
    <row r="296" spans="1:8">
      <c r="A296">
        <v>295</v>
      </c>
      <c r="B296" s="2">
        <v>45479</v>
      </c>
      <c r="C296" s="2">
        <v>45481</v>
      </c>
      <c r="D296">
        <v>2</v>
      </c>
      <c r="E296" t="s">
        <v>8</v>
      </c>
      <c r="F296" t="s">
        <v>9</v>
      </c>
      <c r="G296" t="s">
        <v>10</v>
      </c>
      <c r="H296">
        <f>IF(Table2[[#This Row],[on_time]]="Yes",1,0)</f>
        <v>1</v>
      </c>
    </row>
    <row r="297" spans="1:8">
      <c r="A297">
        <v>296</v>
      </c>
      <c r="B297" s="2">
        <v>45476</v>
      </c>
      <c r="C297" s="2">
        <v>45478</v>
      </c>
      <c r="D297">
        <v>2</v>
      </c>
      <c r="E297" t="s">
        <v>8</v>
      </c>
      <c r="F297" t="s">
        <v>12</v>
      </c>
      <c r="G297" t="s">
        <v>10</v>
      </c>
      <c r="H297">
        <f>IF(Table2[[#This Row],[on_time]]="Yes",1,0)</f>
        <v>1</v>
      </c>
    </row>
    <row r="298" spans="1:8">
      <c r="A298">
        <v>297</v>
      </c>
      <c r="B298" s="2">
        <v>45493</v>
      </c>
      <c r="C298" s="2">
        <v>45496</v>
      </c>
      <c r="D298">
        <v>3</v>
      </c>
      <c r="E298" t="s">
        <v>8</v>
      </c>
      <c r="F298" t="s">
        <v>12</v>
      </c>
      <c r="G298" t="s">
        <v>10</v>
      </c>
      <c r="H298">
        <f>IF(Table2[[#This Row],[on_time]]="Yes",1,0)</f>
        <v>1</v>
      </c>
    </row>
    <row r="299" spans="1:8">
      <c r="A299">
        <v>298</v>
      </c>
      <c r="B299" s="2">
        <v>45484</v>
      </c>
      <c r="C299" s="2">
        <v>45486</v>
      </c>
      <c r="D299">
        <v>2</v>
      </c>
      <c r="E299" t="s">
        <v>8</v>
      </c>
      <c r="F299" t="s">
        <v>15</v>
      </c>
      <c r="G299" t="s">
        <v>10</v>
      </c>
      <c r="H299">
        <f>IF(Table2[[#This Row],[on_time]]="Yes",1,0)</f>
        <v>1</v>
      </c>
    </row>
    <row r="300" spans="1:8">
      <c r="A300">
        <v>299</v>
      </c>
      <c r="B300" s="2">
        <v>45497</v>
      </c>
      <c r="C300" s="2">
        <v>45502</v>
      </c>
      <c r="D300">
        <v>5</v>
      </c>
      <c r="E300" t="s">
        <v>11</v>
      </c>
      <c r="F300" t="s">
        <v>12</v>
      </c>
      <c r="G300" t="s">
        <v>13</v>
      </c>
      <c r="H300">
        <f>IF(Table2[[#This Row],[on_time]]="Yes",1,0)</f>
        <v>0</v>
      </c>
    </row>
    <row r="301" spans="1:8">
      <c r="A301">
        <v>300</v>
      </c>
      <c r="B301" s="2">
        <v>45478</v>
      </c>
      <c r="C301" s="2">
        <v>45481</v>
      </c>
      <c r="D301">
        <v>3</v>
      </c>
      <c r="E301" t="s">
        <v>8</v>
      </c>
      <c r="F301" t="s">
        <v>9</v>
      </c>
      <c r="G301" t="s">
        <v>10</v>
      </c>
      <c r="H301">
        <f>IF(Table2[[#This Row],[on_time]]="Yes",1,0)</f>
        <v>1</v>
      </c>
    </row>
    <row r="302" spans="1:8">
      <c r="A302">
        <v>301</v>
      </c>
      <c r="B302" s="2">
        <v>45492</v>
      </c>
      <c r="C302" s="2">
        <v>45494</v>
      </c>
      <c r="D302">
        <v>2</v>
      </c>
      <c r="E302" t="s">
        <v>14</v>
      </c>
      <c r="F302" t="s">
        <v>15</v>
      </c>
      <c r="G302" t="s">
        <v>10</v>
      </c>
      <c r="H302">
        <f>IF(Table2[[#This Row],[on_time]]="Yes",1,0)</f>
        <v>1</v>
      </c>
    </row>
    <row r="303" spans="1:8">
      <c r="A303">
        <v>302</v>
      </c>
      <c r="B303" s="2">
        <v>45486</v>
      </c>
      <c r="C303" s="2">
        <v>45491</v>
      </c>
      <c r="D303">
        <v>5</v>
      </c>
      <c r="E303" t="s">
        <v>11</v>
      </c>
      <c r="F303" t="s">
        <v>9</v>
      </c>
      <c r="G303" t="s">
        <v>13</v>
      </c>
      <c r="H303">
        <f>IF(Table2[[#This Row],[on_time]]="Yes",1,0)</f>
        <v>0</v>
      </c>
    </row>
    <row r="304" spans="1:8">
      <c r="A304">
        <v>303</v>
      </c>
      <c r="B304" s="2">
        <v>45490</v>
      </c>
      <c r="C304" s="2">
        <v>45494</v>
      </c>
      <c r="D304">
        <v>4</v>
      </c>
      <c r="E304" t="s">
        <v>14</v>
      </c>
      <c r="F304" t="s">
        <v>9</v>
      </c>
      <c r="G304" t="s">
        <v>13</v>
      </c>
      <c r="H304">
        <f>IF(Table2[[#This Row],[on_time]]="Yes",1,0)</f>
        <v>0</v>
      </c>
    </row>
    <row r="305" spans="1:8">
      <c r="A305">
        <v>304</v>
      </c>
      <c r="B305" s="2">
        <v>45491</v>
      </c>
      <c r="C305" s="2">
        <v>45495</v>
      </c>
      <c r="D305">
        <v>4</v>
      </c>
      <c r="E305" t="s">
        <v>11</v>
      </c>
      <c r="F305" t="s">
        <v>9</v>
      </c>
      <c r="G305" t="s">
        <v>13</v>
      </c>
      <c r="H305">
        <f>IF(Table2[[#This Row],[on_time]]="Yes",1,0)</f>
        <v>0</v>
      </c>
    </row>
    <row r="306" spans="1:8">
      <c r="A306">
        <v>305</v>
      </c>
      <c r="B306" s="2">
        <v>45478</v>
      </c>
      <c r="C306" s="2">
        <v>45479</v>
      </c>
      <c r="D306">
        <v>1</v>
      </c>
      <c r="E306" t="s">
        <v>11</v>
      </c>
      <c r="F306" t="s">
        <v>15</v>
      </c>
      <c r="G306" t="s">
        <v>10</v>
      </c>
      <c r="H306">
        <f>IF(Table2[[#This Row],[on_time]]="Yes",1,0)</f>
        <v>1</v>
      </c>
    </row>
    <row r="307" spans="1:8">
      <c r="A307">
        <v>306</v>
      </c>
      <c r="B307" s="2">
        <v>45481</v>
      </c>
      <c r="C307" s="2">
        <v>45482</v>
      </c>
      <c r="D307">
        <v>1</v>
      </c>
      <c r="E307" t="s">
        <v>8</v>
      </c>
      <c r="F307" t="s">
        <v>9</v>
      </c>
      <c r="G307" t="s">
        <v>10</v>
      </c>
      <c r="H307">
        <f>IF(Table2[[#This Row],[on_time]]="Yes",1,0)</f>
        <v>1</v>
      </c>
    </row>
    <row r="308" spans="1:8">
      <c r="A308">
        <v>307</v>
      </c>
      <c r="B308" s="2">
        <v>45485</v>
      </c>
      <c r="C308" s="2">
        <v>45487</v>
      </c>
      <c r="D308">
        <v>2</v>
      </c>
      <c r="E308" t="s">
        <v>11</v>
      </c>
      <c r="F308" t="s">
        <v>12</v>
      </c>
      <c r="G308" t="s">
        <v>10</v>
      </c>
      <c r="H308">
        <f>IF(Table2[[#This Row],[on_time]]="Yes",1,0)</f>
        <v>1</v>
      </c>
    </row>
    <row r="309" spans="1:8">
      <c r="A309">
        <v>308</v>
      </c>
      <c r="B309" s="2">
        <v>45480</v>
      </c>
      <c r="C309" s="2">
        <v>45485</v>
      </c>
      <c r="D309">
        <v>5</v>
      </c>
      <c r="E309" t="s">
        <v>14</v>
      </c>
      <c r="F309" t="s">
        <v>9</v>
      </c>
      <c r="G309" t="s">
        <v>13</v>
      </c>
      <c r="H309">
        <f>IF(Table2[[#This Row],[on_time]]="Yes",1,0)</f>
        <v>0</v>
      </c>
    </row>
    <row r="310" spans="1:8">
      <c r="A310">
        <v>309</v>
      </c>
      <c r="B310" s="2">
        <v>45501</v>
      </c>
      <c r="C310" s="2">
        <v>45504</v>
      </c>
      <c r="D310">
        <v>3</v>
      </c>
      <c r="E310" t="s">
        <v>11</v>
      </c>
      <c r="F310" t="s">
        <v>12</v>
      </c>
      <c r="G310" t="s">
        <v>10</v>
      </c>
      <c r="H310">
        <f>IF(Table2[[#This Row],[on_time]]="Yes",1,0)</f>
        <v>1</v>
      </c>
    </row>
    <row r="311" spans="1:8">
      <c r="A311">
        <v>310</v>
      </c>
      <c r="B311" s="2">
        <v>45483</v>
      </c>
      <c r="C311" s="2">
        <v>45488</v>
      </c>
      <c r="D311">
        <v>5</v>
      </c>
      <c r="E311" t="s">
        <v>11</v>
      </c>
      <c r="F311" t="s">
        <v>12</v>
      </c>
      <c r="G311" t="s">
        <v>13</v>
      </c>
      <c r="H311">
        <f>IF(Table2[[#This Row],[on_time]]="Yes",1,0)</f>
        <v>0</v>
      </c>
    </row>
    <row r="312" spans="1:8">
      <c r="A312">
        <v>311</v>
      </c>
      <c r="B312" s="2">
        <v>45475</v>
      </c>
      <c r="C312" s="2">
        <v>45480</v>
      </c>
      <c r="D312">
        <v>5</v>
      </c>
      <c r="E312" t="s">
        <v>11</v>
      </c>
      <c r="F312" t="s">
        <v>15</v>
      </c>
      <c r="G312" t="s">
        <v>13</v>
      </c>
      <c r="H312">
        <f>IF(Table2[[#This Row],[on_time]]="Yes",1,0)</f>
        <v>0</v>
      </c>
    </row>
    <row r="313" spans="1:8">
      <c r="A313">
        <v>312</v>
      </c>
      <c r="B313" s="2">
        <v>45474</v>
      </c>
      <c r="C313" s="2">
        <v>45476</v>
      </c>
      <c r="D313">
        <v>2</v>
      </c>
      <c r="E313" t="s">
        <v>14</v>
      </c>
      <c r="F313" t="s">
        <v>15</v>
      </c>
      <c r="G313" t="s">
        <v>10</v>
      </c>
      <c r="H313">
        <f>IF(Table2[[#This Row],[on_time]]="Yes",1,0)</f>
        <v>1</v>
      </c>
    </row>
    <row r="314" spans="1:8">
      <c r="A314">
        <v>313</v>
      </c>
      <c r="B314" s="2">
        <v>45486</v>
      </c>
      <c r="C314" s="2">
        <v>45488</v>
      </c>
      <c r="D314">
        <v>2</v>
      </c>
      <c r="E314" t="s">
        <v>11</v>
      </c>
      <c r="F314" t="s">
        <v>12</v>
      </c>
      <c r="G314" t="s">
        <v>10</v>
      </c>
      <c r="H314">
        <f>IF(Table2[[#This Row],[on_time]]="Yes",1,0)</f>
        <v>1</v>
      </c>
    </row>
    <row r="315" spans="1:8">
      <c r="A315">
        <v>314</v>
      </c>
      <c r="B315" s="2">
        <v>45489</v>
      </c>
      <c r="C315" s="2">
        <v>45490</v>
      </c>
      <c r="D315">
        <v>1</v>
      </c>
      <c r="E315" t="s">
        <v>8</v>
      </c>
      <c r="F315" t="s">
        <v>15</v>
      </c>
      <c r="G315" t="s">
        <v>10</v>
      </c>
      <c r="H315">
        <f>IF(Table2[[#This Row],[on_time]]="Yes",1,0)</f>
        <v>1</v>
      </c>
    </row>
    <row r="316" spans="1:8">
      <c r="A316">
        <v>315</v>
      </c>
      <c r="B316" s="2">
        <v>45487</v>
      </c>
      <c r="C316" s="2">
        <v>45491</v>
      </c>
      <c r="D316">
        <v>4</v>
      </c>
      <c r="E316" t="s">
        <v>11</v>
      </c>
      <c r="F316" t="s">
        <v>15</v>
      </c>
      <c r="G316" t="s">
        <v>13</v>
      </c>
      <c r="H316">
        <f>IF(Table2[[#This Row],[on_time]]="Yes",1,0)</f>
        <v>0</v>
      </c>
    </row>
    <row r="317" spans="1:8">
      <c r="A317">
        <v>316</v>
      </c>
      <c r="B317" s="2">
        <v>45478</v>
      </c>
      <c r="C317" s="2">
        <v>45481</v>
      </c>
      <c r="D317">
        <v>3</v>
      </c>
      <c r="E317" t="s">
        <v>8</v>
      </c>
      <c r="F317" t="s">
        <v>12</v>
      </c>
      <c r="G317" t="s">
        <v>10</v>
      </c>
      <c r="H317">
        <f>IF(Table2[[#This Row],[on_time]]="Yes",1,0)</f>
        <v>1</v>
      </c>
    </row>
    <row r="318" spans="1:8">
      <c r="A318">
        <v>317</v>
      </c>
      <c r="B318" s="2">
        <v>45495</v>
      </c>
      <c r="C318" s="2">
        <v>45497</v>
      </c>
      <c r="D318">
        <v>2</v>
      </c>
      <c r="E318" t="s">
        <v>14</v>
      </c>
      <c r="F318" t="s">
        <v>15</v>
      </c>
      <c r="G318" t="s">
        <v>10</v>
      </c>
      <c r="H318">
        <f>IF(Table2[[#This Row],[on_time]]="Yes",1,0)</f>
        <v>1</v>
      </c>
    </row>
    <row r="319" spans="1:8">
      <c r="A319">
        <v>318</v>
      </c>
      <c r="B319" s="2">
        <v>45491</v>
      </c>
      <c r="C319" s="2">
        <v>45493</v>
      </c>
      <c r="D319">
        <v>2</v>
      </c>
      <c r="E319" t="s">
        <v>14</v>
      </c>
      <c r="F319" t="s">
        <v>12</v>
      </c>
      <c r="G319" t="s">
        <v>10</v>
      </c>
      <c r="H319">
        <f>IF(Table2[[#This Row],[on_time]]="Yes",1,0)</f>
        <v>1</v>
      </c>
    </row>
    <row r="320" spans="1:8">
      <c r="A320">
        <v>319</v>
      </c>
      <c r="B320" s="2">
        <v>45487</v>
      </c>
      <c r="C320" s="2">
        <v>45491</v>
      </c>
      <c r="D320">
        <v>4</v>
      </c>
      <c r="E320" t="s">
        <v>8</v>
      </c>
      <c r="F320" t="s">
        <v>9</v>
      </c>
      <c r="G320" t="s">
        <v>13</v>
      </c>
      <c r="H320">
        <f>IF(Table2[[#This Row],[on_time]]="Yes",1,0)</f>
        <v>0</v>
      </c>
    </row>
    <row r="321" spans="1:8">
      <c r="A321">
        <v>320</v>
      </c>
      <c r="B321" s="2">
        <v>45480</v>
      </c>
      <c r="C321" s="2">
        <v>45485</v>
      </c>
      <c r="D321">
        <v>5</v>
      </c>
      <c r="E321" t="s">
        <v>11</v>
      </c>
      <c r="F321" t="s">
        <v>9</v>
      </c>
      <c r="G321" t="s">
        <v>13</v>
      </c>
      <c r="H321">
        <f>IF(Table2[[#This Row],[on_time]]="Yes",1,0)</f>
        <v>0</v>
      </c>
    </row>
    <row r="322" spans="1:8">
      <c r="A322">
        <v>321</v>
      </c>
      <c r="B322" s="2">
        <v>45493</v>
      </c>
      <c r="C322" s="2">
        <v>45495</v>
      </c>
      <c r="D322">
        <v>2</v>
      </c>
      <c r="E322" t="s">
        <v>14</v>
      </c>
      <c r="F322" t="s">
        <v>15</v>
      </c>
      <c r="G322" t="s">
        <v>10</v>
      </c>
      <c r="H322">
        <f>IF(Table2[[#This Row],[on_time]]="Yes",1,0)</f>
        <v>1</v>
      </c>
    </row>
    <row r="323" spans="1:8">
      <c r="A323">
        <v>322</v>
      </c>
      <c r="B323" s="2">
        <v>45489</v>
      </c>
      <c r="C323" s="2">
        <v>45490</v>
      </c>
      <c r="D323">
        <v>1</v>
      </c>
      <c r="E323" t="s">
        <v>11</v>
      </c>
      <c r="F323" t="s">
        <v>9</v>
      </c>
      <c r="G323" t="s">
        <v>10</v>
      </c>
      <c r="H323">
        <f>IF(Table2[[#This Row],[on_time]]="Yes",1,0)</f>
        <v>1</v>
      </c>
    </row>
    <row r="324" spans="1:8">
      <c r="A324">
        <v>323</v>
      </c>
      <c r="B324" s="2">
        <v>45490</v>
      </c>
      <c r="C324" s="2">
        <v>45494</v>
      </c>
      <c r="D324">
        <v>4</v>
      </c>
      <c r="E324" t="s">
        <v>11</v>
      </c>
      <c r="F324" t="s">
        <v>9</v>
      </c>
      <c r="G324" t="s">
        <v>13</v>
      </c>
      <c r="H324">
        <f>IF(Table2[[#This Row],[on_time]]="Yes",1,0)</f>
        <v>0</v>
      </c>
    </row>
    <row r="325" spans="1:8">
      <c r="A325">
        <v>324</v>
      </c>
      <c r="B325" s="2">
        <v>45501</v>
      </c>
      <c r="C325" s="2">
        <v>45503</v>
      </c>
      <c r="D325">
        <v>2</v>
      </c>
      <c r="E325" t="s">
        <v>14</v>
      </c>
      <c r="F325" t="s">
        <v>15</v>
      </c>
      <c r="G325" t="s">
        <v>10</v>
      </c>
      <c r="H325">
        <f>IF(Table2[[#This Row],[on_time]]="Yes",1,0)</f>
        <v>1</v>
      </c>
    </row>
    <row r="326" spans="1:8">
      <c r="A326">
        <v>325</v>
      </c>
      <c r="B326" s="2">
        <v>45475</v>
      </c>
      <c r="C326" s="2">
        <v>45478</v>
      </c>
      <c r="D326">
        <v>3</v>
      </c>
      <c r="E326" t="s">
        <v>11</v>
      </c>
      <c r="F326" t="s">
        <v>9</v>
      </c>
      <c r="G326" t="s">
        <v>10</v>
      </c>
      <c r="H326">
        <f>IF(Table2[[#This Row],[on_time]]="Yes",1,0)</f>
        <v>1</v>
      </c>
    </row>
    <row r="327" spans="1:8">
      <c r="A327">
        <v>326</v>
      </c>
      <c r="B327" s="2">
        <v>45490</v>
      </c>
      <c r="C327" s="2">
        <v>45494</v>
      </c>
      <c r="D327">
        <v>4</v>
      </c>
      <c r="E327" t="s">
        <v>11</v>
      </c>
      <c r="F327" t="s">
        <v>15</v>
      </c>
      <c r="G327" t="s">
        <v>13</v>
      </c>
      <c r="H327">
        <f>IF(Table2[[#This Row],[on_time]]="Yes",1,0)</f>
        <v>0</v>
      </c>
    </row>
    <row r="328" spans="1:8">
      <c r="A328">
        <v>327</v>
      </c>
      <c r="B328" s="2">
        <v>45480</v>
      </c>
      <c r="C328" s="2">
        <v>45483</v>
      </c>
      <c r="D328">
        <v>3</v>
      </c>
      <c r="E328" t="s">
        <v>8</v>
      </c>
      <c r="F328" t="s">
        <v>9</v>
      </c>
      <c r="G328" t="s">
        <v>10</v>
      </c>
      <c r="H328">
        <f>IF(Table2[[#This Row],[on_time]]="Yes",1,0)</f>
        <v>1</v>
      </c>
    </row>
    <row r="329" spans="1:8">
      <c r="A329">
        <v>328</v>
      </c>
      <c r="B329" s="2">
        <v>45496</v>
      </c>
      <c r="C329" s="2">
        <v>45498</v>
      </c>
      <c r="D329">
        <v>2</v>
      </c>
      <c r="E329" t="s">
        <v>14</v>
      </c>
      <c r="F329" t="s">
        <v>9</v>
      </c>
      <c r="G329" t="s">
        <v>10</v>
      </c>
      <c r="H329">
        <f>IF(Table2[[#This Row],[on_time]]="Yes",1,0)</f>
        <v>1</v>
      </c>
    </row>
    <row r="330" spans="1:8">
      <c r="A330">
        <v>329</v>
      </c>
      <c r="B330" s="2">
        <v>45489</v>
      </c>
      <c r="C330" s="2">
        <v>45492</v>
      </c>
      <c r="D330">
        <v>3</v>
      </c>
      <c r="E330" t="s">
        <v>8</v>
      </c>
      <c r="F330" t="s">
        <v>12</v>
      </c>
      <c r="G330" t="s">
        <v>10</v>
      </c>
      <c r="H330">
        <f>IF(Table2[[#This Row],[on_time]]="Yes",1,0)</f>
        <v>1</v>
      </c>
    </row>
    <row r="331" spans="1:8">
      <c r="A331">
        <v>330</v>
      </c>
      <c r="B331" s="2">
        <v>45476</v>
      </c>
      <c r="C331" s="2">
        <v>45481</v>
      </c>
      <c r="D331">
        <v>5</v>
      </c>
      <c r="E331" t="s">
        <v>14</v>
      </c>
      <c r="F331" t="s">
        <v>9</v>
      </c>
      <c r="G331" t="s">
        <v>13</v>
      </c>
      <c r="H331">
        <f>IF(Table2[[#This Row],[on_time]]="Yes",1,0)</f>
        <v>0</v>
      </c>
    </row>
    <row r="332" spans="1:8">
      <c r="A332">
        <v>331</v>
      </c>
      <c r="B332" s="2">
        <v>45498</v>
      </c>
      <c r="C332" s="2">
        <v>45502</v>
      </c>
      <c r="D332">
        <v>4</v>
      </c>
      <c r="E332" t="s">
        <v>14</v>
      </c>
      <c r="F332" t="s">
        <v>9</v>
      </c>
      <c r="G332" t="s">
        <v>13</v>
      </c>
      <c r="H332">
        <f>IF(Table2[[#This Row],[on_time]]="Yes",1,0)</f>
        <v>0</v>
      </c>
    </row>
    <row r="333" spans="1:8">
      <c r="A333">
        <v>332</v>
      </c>
      <c r="B333" s="2">
        <v>45485</v>
      </c>
      <c r="C333" s="2">
        <v>45488</v>
      </c>
      <c r="D333">
        <v>3</v>
      </c>
      <c r="E333" t="s">
        <v>14</v>
      </c>
      <c r="F333" t="s">
        <v>12</v>
      </c>
      <c r="G333" t="s">
        <v>10</v>
      </c>
      <c r="H333">
        <f>IF(Table2[[#This Row],[on_time]]="Yes",1,0)</f>
        <v>1</v>
      </c>
    </row>
    <row r="334" spans="1:8">
      <c r="A334">
        <v>333</v>
      </c>
      <c r="B334" s="2">
        <v>45478</v>
      </c>
      <c r="C334" s="2">
        <v>45481</v>
      </c>
      <c r="D334">
        <v>3</v>
      </c>
      <c r="E334" t="s">
        <v>14</v>
      </c>
      <c r="F334" t="s">
        <v>15</v>
      </c>
      <c r="G334" t="s">
        <v>10</v>
      </c>
      <c r="H334">
        <f>IF(Table2[[#This Row],[on_time]]="Yes",1,0)</f>
        <v>1</v>
      </c>
    </row>
    <row r="335" spans="1:8">
      <c r="A335">
        <v>334</v>
      </c>
      <c r="B335" s="2">
        <v>45494</v>
      </c>
      <c r="C335" s="2">
        <v>45496</v>
      </c>
      <c r="D335">
        <v>2</v>
      </c>
      <c r="E335" t="s">
        <v>11</v>
      </c>
      <c r="F335" t="s">
        <v>12</v>
      </c>
      <c r="G335" t="s">
        <v>10</v>
      </c>
      <c r="H335">
        <f>IF(Table2[[#This Row],[on_time]]="Yes",1,0)</f>
        <v>1</v>
      </c>
    </row>
    <row r="336" spans="1:8">
      <c r="A336">
        <v>335</v>
      </c>
      <c r="B336" s="2">
        <v>45494</v>
      </c>
      <c r="C336" s="2">
        <v>45496</v>
      </c>
      <c r="D336">
        <v>2</v>
      </c>
      <c r="E336" t="s">
        <v>11</v>
      </c>
      <c r="F336" t="s">
        <v>15</v>
      </c>
      <c r="G336" t="s">
        <v>10</v>
      </c>
      <c r="H336">
        <f>IF(Table2[[#This Row],[on_time]]="Yes",1,0)</f>
        <v>1</v>
      </c>
    </row>
    <row r="337" spans="1:8">
      <c r="A337">
        <v>336</v>
      </c>
      <c r="B337" s="2">
        <v>45494</v>
      </c>
      <c r="C337" s="2">
        <v>45499</v>
      </c>
      <c r="D337">
        <v>5</v>
      </c>
      <c r="E337" t="s">
        <v>14</v>
      </c>
      <c r="F337" t="s">
        <v>9</v>
      </c>
      <c r="G337" t="s">
        <v>13</v>
      </c>
      <c r="H337">
        <f>IF(Table2[[#This Row],[on_time]]="Yes",1,0)</f>
        <v>0</v>
      </c>
    </row>
    <row r="338" spans="1:8">
      <c r="A338">
        <v>337</v>
      </c>
      <c r="B338" s="2">
        <v>45482</v>
      </c>
      <c r="C338" s="2">
        <v>45484</v>
      </c>
      <c r="D338">
        <v>2</v>
      </c>
      <c r="E338" t="s">
        <v>14</v>
      </c>
      <c r="F338" t="s">
        <v>15</v>
      </c>
      <c r="G338" t="s">
        <v>10</v>
      </c>
      <c r="H338">
        <f>IF(Table2[[#This Row],[on_time]]="Yes",1,0)</f>
        <v>1</v>
      </c>
    </row>
    <row r="339" spans="1:8">
      <c r="A339">
        <v>338</v>
      </c>
      <c r="B339" s="2">
        <v>45475</v>
      </c>
      <c r="C339" s="2">
        <v>45476</v>
      </c>
      <c r="D339">
        <v>1</v>
      </c>
      <c r="E339" t="s">
        <v>11</v>
      </c>
      <c r="F339" t="s">
        <v>9</v>
      </c>
      <c r="G339" t="s">
        <v>10</v>
      </c>
      <c r="H339">
        <f>IF(Table2[[#This Row],[on_time]]="Yes",1,0)</f>
        <v>1</v>
      </c>
    </row>
    <row r="340" spans="1:8">
      <c r="A340">
        <v>339</v>
      </c>
      <c r="B340" s="2">
        <v>45495</v>
      </c>
      <c r="C340" s="2">
        <v>45496</v>
      </c>
      <c r="D340">
        <v>1</v>
      </c>
      <c r="E340" t="s">
        <v>14</v>
      </c>
      <c r="F340" t="s">
        <v>12</v>
      </c>
      <c r="G340" t="s">
        <v>10</v>
      </c>
      <c r="H340">
        <f>IF(Table2[[#This Row],[on_time]]="Yes",1,0)</f>
        <v>1</v>
      </c>
    </row>
    <row r="341" spans="1:8">
      <c r="A341">
        <v>340</v>
      </c>
      <c r="B341" s="2">
        <v>45491</v>
      </c>
      <c r="C341" s="2">
        <v>45493</v>
      </c>
      <c r="D341">
        <v>2</v>
      </c>
      <c r="E341" t="s">
        <v>11</v>
      </c>
      <c r="F341" t="s">
        <v>15</v>
      </c>
      <c r="G341" t="s">
        <v>10</v>
      </c>
      <c r="H341">
        <f>IF(Table2[[#This Row],[on_time]]="Yes",1,0)</f>
        <v>1</v>
      </c>
    </row>
    <row r="342" spans="1:8">
      <c r="A342">
        <v>341</v>
      </c>
      <c r="B342" s="2">
        <v>45492</v>
      </c>
      <c r="C342" s="2">
        <v>45497</v>
      </c>
      <c r="D342">
        <v>5</v>
      </c>
      <c r="E342" t="s">
        <v>11</v>
      </c>
      <c r="F342" t="s">
        <v>9</v>
      </c>
      <c r="G342" t="s">
        <v>13</v>
      </c>
      <c r="H342">
        <f>IF(Table2[[#This Row],[on_time]]="Yes",1,0)</f>
        <v>0</v>
      </c>
    </row>
    <row r="343" spans="1:8">
      <c r="A343">
        <v>342</v>
      </c>
      <c r="B343" s="2">
        <v>45485</v>
      </c>
      <c r="C343" s="2">
        <v>45490</v>
      </c>
      <c r="D343">
        <v>5</v>
      </c>
      <c r="E343" t="s">
        <v>14</v>
      </c>
      <c r="F343" t="s">
        <v>12</v>
      </c>
      <c r="G343" t="s">
        <v>13</v>
      </c>
      <c r="H343">
        <f>IF(Table2[[#This Row],[on_time]]="Yes",1,0)</f>
        <v>0</v>
      </c>
    </row>
    <row r="344" spans="1:8">
      <c r="A344">
        <v>343</v>
      </c>
      <c r="B344" s="2">
        <v>45494</v>
      </c>
      <c r="C344" s="2">
        <v>45495</v>
      </c>
      <c r="D344">
        <v>1</v>
      </c>
      <c r="E344" t="s">
        <v>8</v>
      </c>
      <c r="F344" t="s">
        <v>9</v>
      </c>
      <c r="G344" t="s">
        <v>10</v>
      </c>
      <c r="H344">
        <f>IF(Table2[[#This Row],[on_time]]="Yes",1,0)</f>
        <v>1</v>
      </c>
    </row>
    <row r="345" spans="1:8">
      <c r="A345">
        <v>344</v>
      </c>
      <c r="B345" s="2">
        <v>45492</v>
      </c>
      <c r="C345" s="2">
        <v>45497</v>
      </c>
      <c r="D345">
        <v>5</v>
      </c>
      <c r="E345" t="s">
        <v>14</v>
      </c>
      <c r="F345" t="s">
        <v>15</v>
      </c>
      <c r="G345" t="s">
        <v>13</v>
      </c>
      <c r="H345">
        <f>IF(Table2[[#This Row],[on_time]]="Yes",1,0)</f>
        <v>0</v>
      </c>
    </row>
    <row r="346" spans="1:8">
      <c r="A346">
        <v>345</v>
      </c>
      <c r="B346" s="2">
        <v>45492</v>
      </c>
      <c r="C346" s="2">
        <v>45493</v>
      </c>
      <c r="D346">
        <v>1</v>
      </c>
      <c r="E346" t="s">
        <v>14</v>
      </c>
      <c r="F346" t="s">
        <v>12</v>
      </c>
      <c r="G346" t="s">
        <v>10</v>
      </c>
      <c r="H346">
        <f>IF(Table2[[#This Row],[on_time]]="Yes",1,0)</f>
        <v>1</v>
      </c>
    </row>
    <row r="347" spans="1:8">
      <c r="A347">
        <v>346</v>
      </c>
      <c r="B347" s="2">
        <v>45481</v>
      </c>
      <c r="C347" s="2">
        <v>45482</v>
      </c>
      <c r="D347">
        <v>1</v>
      </c>
      <c r="E347" t="s">
        <v>14</v>
      </c>
      <c r="F347" t="s">
        <v>9</v>
      </c>
      <c r="G347" t="s">
        <v>10</v>
      </c>
      <c r="H347">
        <f>IF(Table2[[#This Row],[on_time]]="Yes",1,0)</f>
        <v>1</v>
      </c>
    </row>
    <row r="348" spans="1:8">
      <c r="A348">
        <v>347</v>
      </c>
      <c r="B348" s="2">
        <v>45498</v>
      </c>
      <c r="C348" s="2">
        <v>45502</v>
      </c>
      <c r="D348">
        <v>4</v>
      </c>
      <c r="E348" t="s">
        <v>11</v>
      </c>
      <c r="F348" t="s">
        <v>9</v>
      </c>
      <c r="G348" t="s">
        <v>13</v>
      </c>
      <c r="H348">
        <f>IF(Table2[[#This Row],[on_time]]="Yes",1,0)</f>
        <v>0</v>
      </c>
    </row>
    <row r="349" spans="1:8">
      <c r="A349">
        <v>348</v>
      </c>
      <c r="B349" s="2">
        <v>45480</v>
      </c>
      <c r="C349" s="2">
        <v>45483</v>
      </c>
      <c r="D349">
        <v>3</v>
      </c>
      <c r="E349" t="s">
        <v>14</v>
      </c>
      <c r="F349" t="s">
        <v>9</v>
      </c>
      <c r="G349" t="s">
        <v>10</v>
      </c>
      <c r="H349">
        <f>IF(Table2[[#This Row],[on_time]]="Yes",1,0)</f>
        <v>1</v>
      </c>
    </row>
    <row r="350" spans="1:8">
      <c r="A350">
        <v>349</v>
      </c>
      <c r="B350" s="2">
        <v>45484</v>
      </c>
      <c r="C350" s="2">
        <v>45488</v>
      </c>
      <c r="D350">
        <v>4</v>
      </c>
      <c r="E350" t="s">
        <v>8</v>
      </c>
      <c r="F350" t="s">
        <v>15</v>
      </c>
      <c r="G350" t="s">
        <v>13</v>
      </c>
      <c r="H350">
        <f>IF(Table2[[#This Row],[on_time]]="Yes",1,0)</f>
        <v>0</v>
      </c>
    </row>
    <row r="351" spans="1:8">
      <c r="A351">
        <v>350</v>
      </c>
      <c r="B351" s="2">
        <v>45487</v>
      </c>
      <c r="C351" s="2">
        <v>45489</v>
      </c>
      <c r="D351">
        <v>2</v>
      </c>
      <c r="E351" t="s">
        <v>14</v>
      </c>
      <c r="F351" t="s">
        <v>15</v>
      </c>
      <c r="G351" t="s">
        <v>10</v>
      </c>
      <c r="H351">
        <f>IF(Table2[[#This Row],[on_time]]="Yes",1,0)</f>
        <v>1</v>
      </c>
    </row>
    <row r="352" spans="1:8">
      <c r="A352">
        <v>351</v>
      </c>
      <c r="B352" s="2">
        <v>45491</v>
      </c>
      <c r="C352" s="2">
        <v>45494</v>
      </c>
      <c r="D352">
        <v>3</v>
      </c>
      <c r="E352" t="s">
        <v>14</v>
      </c>
      <c r="F352" t="s">
        <v>12</v>
      </c>
      <c r="G352" t="s">
        <v>10</v>
      </c>
      <c r="H352">
        <f>IF(Table2[[#This Row],[on_time]]="Yes",1,0)</f>
        <v>1</v>
      </c>
    </row>
    <row r="353" spans="1:8">
      <c r="A353">
        <v>352</v>
      </c>
      <c r="B353" s="2">
        <v>45484</v>
      </c>
      <c r="C353" s="2">
        <v>45485</v>
      </c>
      <c r="D353">
        <v>1</v>
      </c>
      <c r="E353" t="s">
        <v>8</v>
      </c>
      <c r="F353" t="s">
        <v>9</v>
      </c>
      <c r="G353" t="s">
        <v>10</v>
      </c>
      <c r="H353">
        <f>IF(Table2[[#This Row],[on_time]]="Yes",1,0)</f>
        <v>1</v>
      </c>
    </row>
    <row r="354" spans="1:8">
      <c r="A354">
        <v>353</v>
      </c>
      <c r="B354" s="2">
        <v>45489</v>
      </c>
      <c r="C354" s="2">
        <v>45494</v>
      </c>
      <c r="D354">
        <v>5</v>
      </c>
      <c r="E354" t="s">
        <v>11</v>
      </c>
      <c r="F354" t="s">
        <v>15</v>
      </c>
      <c r="G354" t="s">
        <v>13</v>
      </c>
      <c r="H354">
        <f>IF(Table2[[#This Row],[on_time]]="Yes",1,0)</f>
        <v>0</v>
      </c>
    </row>
    <row r="355" spans="1:8">
      <c r="A355">
        <v>354</v>
      </c>
      <c r="B355" s="2">
        <v>45503</v>
      </c>
      <c r="C355" s="2">
        <v>45507</v>
      </c>
      <c r="D355">
        <v>4</v>
      </c>
      <c r="E355" t="s">
        <v>11</v>
      </c>
      <c r="F355" t="s">
        <v>12</v>
      </c>
      <c r="G355" t="s">
        <v>13</v>
      </c>
      <c r="H355">
        <f>IF(Table2[[#This Row],[on_time]]="Yes",1,0)</f>
        <v>0</v>
      </c>
    </row>
    <row r="356" spans="1:8">
      <c r="A356">
        <v>355</v>
      </c>
      <c r="B356" s="2">
        <v>45485</v>
      </c>
      <c r="C356" s="2">
        <v>45487</v>
      </c>
      <c r="D356">
        <v>2</v>
      </c>
      <c r="E356" t="s">
        <v>14</v>
      </c>
      <c r="F356" t="s">
        <v>15</v>
      </c>
      <c r="G356" t="s">
        <v>10</v>
      </c>
      <c r="H356">
        <f>IF(Table2[[#This Row],[on_time]]="Yes",1,0)</f>
        <v>1</v>
      </c>
    </row>
    <row r="357" spans="1:8">
      <c r="A357">
        <v>356</v>
      </c>
      <c r="B357" s="2">
        <v>45493</v>
      </c>
      <c r="C357" s="2">
        <v>45498</v>
      </c>
      <c r="D357">
        <v>5</v>
      </c>
      <c r="E357" t="s">
        <v>11</v>
      </c>
      <c r="F357" t="s">
        <v>9</v>
      </c>
      <c r="G357" t="s">
        <v>13</v>
      </c>
      <c r="H357">
        <f>IF(Table2[[#This Row],[on_time]]="Yes",1,0)</f>
        <v>0</v>
      </c>
    </row>
    <row r="358" spans="1:8">
      <c r="A358">
        <v>357</v>
      </c>
      <c r="B358" s="2">
        <v>45503</v>
      </c>
      <c r="C358" s="2">
        <v>45504</v>
      </c>
      <c r="D358">
        <v>1</v>
      </c>
      <c r="E358" t="s">
        <v>8</v>
      </c>
      <c r="F358" t="s">
        <v>12</v>
      </c>
      <c r="G358" t="s">
        <v>10</v>
      </c>
      <c r="H358">
        <f>IF(Table2[[#This Row],[on_time]]="Yes",1,0)</f>
        <v>1</v>
      </c>
    </row>
    <row r="359" spans="1:8">
      <c r="A359">
        <v>358</v>
      </c>
      <c r="B359" s="2">
        <v>45499</v>
      </c>
      <c r="C359" s="2">
        <v>45500</v>
      </c>
      <c r="D359">
        <v>1</v>
      </c>
      <c r="E359" t="s">
        <v>11</v>
      </c>
      <c r="F359" t="s">
        <v>12</v>
      </c>
      <c r="G359" t="s">
        <v>10</v>
      </c>
      <c r="H359">
        <f>IF(Table2[[#This Row],[on_time]]="Yes",1,0)</f>
        <v>1</v>
      </c>
    </row>
    <row r="360" spans="1:8">
      <c r="A360">
        <v>359</v>
      </c>
      <c r="B360" s="2">
        <v>45498</v>
      </c>
      <c r="C360" s="2">
        <v>45503</v>
      </c>
      <c r="D360">
        <v>5</v>
      </c>
      <c r="E360" t="s">
        <v>14</v>
      </c>
      <c r="F360" t="s">
        <v>9</v>
      </c>
      <c r="G360" t="s">
        <v>13</v>
      </c>
      <c r="H360">
        <f>IF(Table2[[#This Row],[on_time]]="Yes",1,0)</f>
        <v>0</v>
      </c>
    </row>
    <row r="361" spans="1:8">
      <c r="A361">
        <v>360</v>
      </c>
      <c r="B361" s="2">
        <v>45489</v>
      </c>
      <c r="C361" s="2">
        <v>45492</v>
      </c>
      <c r="D361">
        <v>3</v>
      </c>
      <c r="E361" t="s">
        <v>8</v>
      </c>
      <c r="F361" t="s">
        <v>15</v>
      </c>
      <c r="G361" t="s">
        <v>10</v>
      </c>
      <c r="H361">
        <f>IF(Table2[[#This Row],[on_time]]="Yes",1,0)</f>
        <v>1</v>
      </c>
    </row>
    <row r="362" spans="1:8">
      <c r="A362">
        <v>361</v>
      </c>
      <c r="B362" s="2">
        <v>45494</v>
      </c>
      <c r="C362" s="2">
        <v>45496</v>
      </c>
      <c r="D362">
        <v>2</v>
      </c>
      <c r="E362" t="s">
        <v>11</v>
      </c>
      <c r="F362" t="s">
        <v>9</v>
      </c>
      <c r="G362" t="s">
        <v>10</v>
      </c>
      <c r="H362">
        <f>IF(Table2[[#This Row],[on_time]]="Yes",1,0)</f>
        <v>1</v>
      </c>
    </row>
    <row r="363" spans="1:8">
      <c r="A363">
        <v>362</v>
      </c>
      <c r="B363" s="2">
        <v>45479</v>
      </c>
      <c r="C363" s="2">
        <v>45482</v>
      </c>
      <c r="D363">
        <v>3</v>
      </c>
      <c r="E363" t="s">
        <v>8</v>
      </c>
      <c r="F363" t="s">
        <v>12</v>
      </c>
      <c r="G363" t="s">
        <v>10</v>
      </c>
      <c r="H363">
        <f>IF(Table2[[#This Row],[on_time]]="Yes",1,0)</f>
        <v>1</v>
      </c>
    </row>
    <row r="364" spans="1:8">
      <c r="A364">
        <v>363</v>
      </c>
      <c r="B364" s="2">
        <v>45485</v>
      </c>
      <c r="C364" s="2">
        <v>45487</v>
      </c>
      <c r="D364">
        <v>2</v>
      </c>
      <c r="E364" t="s">
        <v>14</v>
      </c>
      <c r="F364" t="s">
        <v>12</v>
      </c>
      <c r="G364" t="s">
        <v>10</v>
      </c>
      <c r="H364">
        <f>IF(Table2[[#This Row],[on_time]]="Yes",1,0)</f>
        <v>1</v>
      </c>
    </row>
    <row r="365" spans="1:8">
      <c r="A365">
        <v>364</v>
      </c>
      <c r="B365" s="2">
        <v>45502</v>
      </c>
      <c r="C365" s="2">
        <v>45503</v>
      </c>
      <c r="D365">
        <v>1</v>
      </c>
      <c r="E365" t="s">
        <v>8</v>
      </c>
      <c r="F365" t="s">
        <v>9</v>
      </c>
      <c r="G365" t="s">
        <v>10</v>
      </c>
      <c r="H365">
        <f>IF(Table2[[#This Row],[on_time]]="Yes",1,0)</f>
        <v>1</v>
      </c>
    </row>
    <row r="366" spans="1:8">
      <c r="A366">
        <v>365</v>
      </c>
      <c r="B366" s="2">
        <v>45480</v>
      </c>
      <c r="C366" s="2">
        <v>45483</v>
      </c>
      <c r="D366">
        <v>3</v>
      </c>
      <c r="E366" t="s">
        <v>8</v>
      </c>
      <c r="F366" t="s">
        <v>12</v>
      </c>
      <c r="G366" t="s">
        <v>10</v>
      </c>
      <c r="H366">
        <f>IF(Table2[[#This Row],[on_time]]="Yes",1,0)</f>
        <v>1</v>
      </c>
    </row>
    <row r="367" spans="1:8">
      <c r="A367">
        <v>366</v>
      </c>
      <c r="B367" s="2">
        <v>45483</v>
      </c>
      <c r="C367" s="2">
        <v>45485</v>
      </c>
      <c r="D367">
        <v>2</v>
      </c>
      <c r="E367" t="s">
        <v>14</v>
      </c>
      <c r="F367" t="s">
        <v>12</v>
      </c>
      <c r="G367" t="s">
        <v>10</v>
      </c>
      <c r="H367">
        <f>IF(Table2[[#This Row],[on_time]]="Yes",1,0)</f>
        <v>1</v>
      </c>
    </row>
    <row r="368" spans="1:8">
      <c r="A368">
        <v>367</v>
      </c>
      <c r="B368" s="2">
        <v>45483</v>
      </c>
      <c r="C368" s="2">
        <v>45486</v>
      </c>
      <c r="D368">
        <v>3</v>
      </c>
      <c r="E368" t="s">
        <v>11</v>
      </c>
      <c r="F368" t="s">
        <v>9</v>
      </c>
      <c r="G368" t="s">
        <v>10</v>
      </c>
      <c r="H368">
        <f>IF(Table2[[#This Row],[on_time]]="Yes",1,0)</f>
        <v>1</v>
      </c>
    </row>
    <row r="369" spans="1:8">
      <c r="A369">
        <v>368</v>
      </c>
      <c r="B369" s="2">
        <v>45483</v>
      </c>
      <c r="C369" s="2">
        <v>45488</v>
      </c>
      <c r="D369">
        <v>5</v>
      </c>
      <c r="E369" t="s">
        <v>14</v>
      </c>
      <c r="F369" t="s">
        <v>9</v>
      </c>
      <c r="G369" t="s">
        <v>13</v>
      </c>
      <c r="H369">
        <f>IF(Table2[[#This Row],[on_time]]="Yes",1,0)</f>
        <v>0</v>
      </c>
    </row>
    <row r="370" spans="1:8">
      <c r="A370">
        <v>369</v>
      </c>
      <c r="B370" s="2">
        <v>45474</v>
      </c>
      <c r="C370" s="2">
        <v>45479</v>
      </c>
      <c r="D370">
        <v>5</v>
      </c>
      <c r="E370" t="s">
        <v>14</v>
      </c>
      <c r="F370" t="s">
        <v>9</v>
      </c>
      <c r="G370" t="s">
        <v>13</v>
      </c>
      <c r="H370">
        <f>IF(Table2[[#This Row],[on_time]]="Yes",1,0)</f>
        <v>0</v>
      </c>
    </row>
    <row r="371" spans="1:8">
      <c r="A371">
        <v>370</v>
      </c>
      <c r="B371" s="2">
        <v>45485</v>
      </c>
      <c r="C371" s="2">
        <v>45487</v>
      </c>
      <c r="D371">
        <v>2</v>
      </c>
      <c r="E371" t="s">
        <v>14</v>
      </c>
      <c r="F371" t="s">
        <v>15</v>
      </c>
      <c r="G371" t="s">
        <v>10</v>
      </c>
      <c r="H371">
        <f>IF(Table2[[#This Row],[on_time]]="Yes",1,0)</f>
        <v>1</v>
      </c>
    </row>
    <row r="372" spans="1:8">
      <c r="A372">
        <v>371</v>
      </c>
      <c r="B372" s="2">
        <v>45489</v>
      </c>
      <c r="C372" s="2">
        <v>45490</v>
      </c>
      <c r="D372">
        <v>1</v>
      </c>
      <c r="E372" t="s">
        <v>14</v>
      </c>
      <c r="F372" t="s">
        <v>9</v>
      </c>
      <c r="G372" t="s">
        <v>10</v>
      </c>
      <c r="H372">
        <f>IF(Table2[[#This Row],[on_time]]="Yes",1,0)</f>
        <v>1</v>
      </c>
    </row>
    <row r="373" spans="1:8">
      <c r="A373">
        <v>372</v>
      </c>
      <c r="B373" s="2">
        <v>45492</v>
      </c>
      <c r="C373" s="2">
        <v>45494</v>
      </c>
      <c r="D373">
        <v>2</v>
      </c>
      <c r="E373" t="s">
        <v>11</v>
      </c>
      <c r="F373" t="s">
        <v>15</v>
      </c>
      <c r="G373" t="s">
        <v>10</v>
      </c>
      <c r="H373">
        <f>IF(Table2[[#This Row],[on_time]]="Yes",1,0)</f>
        <v>1</v>
      </c>
    </row>
    <row r="374" spans="1:8">
      <c r="A374">
        <v>373</v>
      </c>
      <c r="B374" s="2">
        <v>45496</v>
      </c>
      <c r="C374" s="2">
        <v>45497</v>
      </c>
      <c r="D374">
        <v>1</v>
      </c>
      <c r="E374" t="s">
        <v>11</v>
      </c>
      <c r="F374" t="s">
        <v>15</v>
      </c>
      <c r="G374" t="s">
        <v>10</v>
      </c>
      <c r="H374">
        <f>IF(Table2[[#This Row],[on_time]]="Yes",1,0)</f>
        <v>1</v>
      </c>
    </row>
    <row r="375" spans="1:8">
      <c r="A375">
        <v>374</v>
      </c>
      <c r="B375" s="2">
        <v>45504</v>
      </c>
      <c r="C375" s="2">
        <v>45505</v>
      </c>
      <c r="D375">
        <v>1</v>
      </c>
      <c r="E375" t="s">
        <v>11</v>
      </c>
      <c r="F375" t="s">
        <v>9</v>
      </c>
      <c r="G375" t="s">
        <v>10</v>
      </c>
      <c r="H375">
        <f>IF(Table2[[#This Row],[on_time]]="Yes",1,0)</f>
        <v>1</v>
      </c>
    </row>
    <row r="376" spans="1:8">
      <c r="A376">
        <v>375</v>
      </c>
      <c r="B376" s="2">
        <v>45496</v>
      </c>
      <c r="C376" s="2">
        <v>45499</v>
      </c>
      <c r="D376">
        <v>3</v>
      </c>
      <c r="E376" t="s">
        <v>14</v>
      </c>
      <c r="F376" t="s">
        <v>12</v>
      </c>
      <c r="G376" t="s">
        <v>10</v>
      </c>
      <c r="H376">
        <f>IF(Table2[[#This Row],[on_time]]="Yes",1,0)</f>
        <v>1</v>
      </c>
    </row>
    <row r="377" spans="1:8">
      <c r="A377">
        <v>376</v>
      </c>
      <c r="B377" s="2">
        <v>45483</v>
      </c>
      <c r="C377" s="2">
        <v>45484</v>
      </c>
      <c r="D377">
        <v>1</v>
      </c>
      <c r="E377" t="s">
        <v>8</v>
      </c>
      <c r="F377" t="s">
        <v>9</v>
      </c>
      <c r="G377" t="s">
        <v>10</v>
      </c>
      <c r="H377">
        <f>IF(Table2[[#This Row],[on_time]]="Yes",1,0)</f>
        <v>1</v>
      </c>
    </row>
    <row r="378" spans="1:8">
      <c r="A378">
        <v>377</v>
      </c>
      <c r="B378" s="2">
        <v>45485</v>
      </c>
      <c r="C378" s="2">
        <v>45490</v>
      </c>
      <c r="D378">
        <v>5</v>
      </c>
      <c r="E378" t="s">
        <v>14</v>
      </c>
      <c r="F378" t="s">
        <v>15</v>
      </c>
      <c r="G378" t="s">
        <v>13</v>
      </c>
      <c r="H378">
        <f>IF(Table2[[#This Row],[on_time]]="Yes",1,0)</f>
        <v>0</v>
      </c>
    </row>
    <row r="379" spans="1:8">
      <c r="A379">
        <v>378</v>
      </c>
      <c r="B379" s="2">
        <v>45504</v>
      </c>
      <c r="C379" s="2">
        <v>45505</v>
      </c>
      <c r="D379">
        <v>1</v>
      </c>
      <c r="E379" t="s">
        <v>14</v>
      </c>
      <c r="F379" t="s">
        <v>15</v>
      </c>
      <c r="G379" t="s">
        <v>10</v>
      </c>
      <c r="H379">
        <f>IF(Table2[[#This Row],[on_time]]="Yes",1,0)</f>
        <v>1</v>
      </c>
    </row>
    <row r="380" spans="1:8">
      <c r="A380">
        <v>379</v>
      </c>
      <c r="B380" s="2">
        <v>45478</v>
      </c>
      <c r="C380" s="2">
        <v>45481</v>
      </c>
      <c r="D380">
        <v>3</v>
      </c>
      <c r="E380" t="s">
        <v>11</v>
      </c>
      <c r="F380" t="s">
        <v>12</v>
      </c>
      <c r="G380" t="s">
        <v>10</v>
      </c>
      <c r="H380">
        <f>IF(Table2[[#This Row],[on_time]]="Yes",1,0)</f>
        <v>1</v>
      </c>
    </row>
    <row r="381" spans="1:8">
      <c r="A381">
        <v>380</v>
      </c>
      <c r="B381" s="2">
        <v>45487</v>
      </c>
      <c r="C381" s="2">
        <v>45488</v>
      </c>
      <c r="D381">
        <v>1</v>
      </c>
      <c r="E381" t="s">
        <v>8</v>
      </c>
      <c r="F381" t="s">
        <v>9</v>
      </c>
      <c r="G381" t="s">
        <v>10</v>
      </c>
      <c r="H381">
        <f>IF(Table2[[#This Row],[on_time]]="Yes",1,0)</f>
        <v>1</v>
      </c>
    </row>
    <row r="382" spans="1:8">
      <c r="A382">
        <v>381</v>
      </c>
      <c r="B382" s="2">
        <v>45495</v>
      </c>
      <c r="C382" s="2">
        <v>45500</v>
      </c>
      <c r="D382">
        <v>5</v>
      </c>
      <c r="E382" t="s">
        <v>11</v>
      </c>
      <c r="F382" t="s">
        <v>9</v>
      </c>
      <c r="G382" t="s">
        <v>13</v>
      </c>
      <c r="H382">
        <f>IF(Table2[[#This Row],[on_time]]="Yes",1,0)</f>
        <v>0</v>
      </c>
    </row>
    <row r="383" spans="1:8">
      <c r="A383">
        <v>382</v>
      </c>
      <c r="B383" s="2">
        <v>45501</v>
      </c>
      <c r="C383" s="2">
        <v>45503</v>
      </c>
      <c r="D383">
        <v>2</v>
      </c>
      <c r="E383" t="s">
        <v>11</v>
      </c>
      <c r="F383" t="s">
        <v>9</v>
      </c>
      <c r="G383" t="s">
        <v>10</v>
      </c>
      <c r="H383">
        <f>IF(Table2[[#This Row],[on_time]]="Yes",1,0)</f>
        <v>1</v>
      </c>
    </row>
    <row r="384" spans="1:8">
      <c r="A384">
        <v>383</v>
      </c>
      <c r="B384" s="2">
        <v>45493</v>
      </c>
      <c r="C384" s="2">
        <v>45496</v>
      </c>
      <c r="D384">
        <v>3</v>
      </c>
      <c r="E384" t="s">
        <v>8</v>
      </c>
      <c r="F384" t="s">
        <v>9</v>
      </c>
      <c r="G384" t="s">
        <v>10</v>
      </c>
      <c r="H384">
        <f>IF(Table2[[#This Row],[on_time]]="Yes",1,0)</f>
        <v>1</v>
      </c>
    </row>
    <row r="385" spans="1:8">
      <c r="A385">
        <v>384</v>
      </c>
      <c r="B385" s="2">
        <v>45482</v>
      </c>
      <c r="C385" s="2">
        <v>45486</v>
      </c>
      <c r="D385">
        <v>4</v>
      </c>
      <c r="E385" t="s">
        <v>14</v>
      </c>
      <c r="F385" t="s">
        <v>12</v>
      </c>
      <c r="G385" t="s">
        <v>13</v>
      </c>
      <c r="H385">
        <f>IF(Table2[[#This Row],[on_time]]="Yes",1,0)</f>
        <v>0</v>
      </c>
    </row>
    <row r="386" spans="1:8">
      <c r="A386">
        <v>385</v>
      </c>
      <c r="B386" s="2">
        <v>45482</v>
      </c>
      <c r="C386" s="2">
        <v>45486</v>
      </c>
      <c r="D386">
        <v>4</v>
      </c>
      <c r="E386" t="s">
        <v>11</v>
      </c>
      <c r="F386" t="s">
        <v>12</v>
      </c>
      <c r="G386" t="s">
        <v>13</v>
      </c>
      <c r="H386">
        <f>IF(Table2[[#This Row],[on_time]]="Yes",1,0)</f>
        <v>0</v>
      </c>
    </row>
    <row r="387" spans="1:8">
      <c r="A387">
        <v>386</v>
      </c>
      <c r="B387" s="2">
        <v>45504</v>
      </c>
      <c r="C387" s="2">
        <v>45509</v>
      </c>
      <c r="D387">
        <v>5</v>
      </c>
      <c r="E387" t="s">
        <v>11</v>
      </c>
      <c r="F387" t="s">
        <v>12</v>
      </c>
      <c r="G387" t="s">
        <v>13</v>
      </c>
      <c r="H387">
        <f>IF(Table2[[#This Row],[on_time]]="Yes",1,0)</f>
        <v>0</v>
      </c>
    </row>
    <row r="388" spans="1:8">
      <c r="A388">
        <v>387</v>
      </c>
      <c r="B388" s="2">
        <v>45482</v>
      </c>
      <c r="C388" s="2">
        <v>45487</v>
      </c>
      <c r="D388">
        <v>5</v>
      </c>
      <c r="E388" t="s">
        <v>11</v>
      </c>
      <c r="F388" t="s">
        <v>12</v>
      </c>
      <c r="G388" t="s">
        <v>13</v>
      </c>
      <c r="H388">
        <f>IF(Table2[[#This Row],[on_time]]="Yes",1,0)</f>
        <v>0</v>
      </c>
    </row>
    <row r="389" spans="1:8">
      <c r="A389">
        <v>388</v>
      </c>
      <c r="B389" s="2">
        <v>45485</v>
      </c>
      <c r="C389" s="2">
        <v>45487</v>
      </c>
      <c r="D389">
        <v>2</v>
      </c>
      <c r="E389" t="s">
        <v>14</v>
      </c>
      <c r="F389" t="s">
        <v>12</v>
      </c>
      <c r="G389" t="s">
        <v>10</v>
      </c>
      <c r="H389">
        <f>IF(Table2[[#This Row],[on_time]]="Yes",1,0)</f>
        <v>1</v>
      </c>
    </row>
    <row r="390" spans="1:8">
      <c r="A390">
        <v>389</v>
      </c>
      <c r="B390" s="2">
        <v>45501</v>
      </c>
      <c r="C390" s="2">
        <v>45504</v>
      </c>
      <c r="D390">
        <v>3</v>
      </c>
      <c r="E390" t="s">
        <v>8</v>
      </c>
      <c r="F390" t="s">
        <v>15</v>
      </c>
      <c r="G390" t="s">
        <v>10</v>
      </c>
      <c r="H390">
        <f>IF(Table2[[#This Row],[on_time]]="Yes",1,0)</f>
        <v>1</v>
      </c>
    </row>
    <row r="391" spans="1:8">
      <c r="A391">
        <v>390</v>
      </c>
      <c r="B391" s="2">
        <v>45503</v>
      </c>
      <c r="C391" s="2">
        <v>45504</v>
      </c>
      <c r="D391">
        <v>1</v>
      </c>
      <c r="E391" t="s">
        <v>8</v>
      </c>
      <c r="F391" t="s">
        <v>12</v>
      </c>
      <c r="G391" t="s">
        <v>10</v>
      </c>
      <c r="H391">
        <f>IF(Table2[[#This Row],[on_time]]="Yes",1,0)</f>
        <v>1</v>
      </c>
    </row>
    <row r="392" spans="1:8">
      <c r="A392">
        <v>391</v>
      </c>
      <c r="B392" s="2">
        <v>45498</v>
      </c>
      <c r="C392" s="2">
        <v>45502</v>
      </c>
      <c r="D392">
        <v>4</v>
      </c>
      <c r="E392" t="s">
        <v>8</v>
      </c>
      <c r="F392" t="s">
        <v>15</v>
      </c>
      <c r="G392" t="s">
        <v>13</v>
      </c>
      <c r="H392">
        <f>IF(Table2[[#This Row],[on_time]]="Yes",1,0)</f>
        <v>0</v>
      </c>
    </row>
    <row r="393" spans="1:8">
      <c r="A393">
        <v>392</v>
      </c>
      <c r="B393" s="2">
        <v>45500</v>
      </c>
      <c r="C393" s="2">
        <v>45501</v>
      </c>
      <c r="D393">
        <v>1</v>
      </c>
      <c r="E393" t="s">
        <v>14</v>
      </c>
      <c r="F393" t="s">
        <v>12</v>
      </c>
      <c r="G393" t="s">
        <v>10</v>
      </c>
      <c r="H393">
        <f>IF(Table2[[#This Row],[on_time]]="Yes",1,0)</f>
        <v>1</v>
      </c>
    </row>
    <row r="394" spans="1:8">
      <c r="A394">
        <v>393</v>
      </c>
      <c r="B394" s="2">
        <v>45484</v>
      </c>
      <c r="C394" s="2">
        <v>45485</v>
      </c>
      <c r="D394">
        <v>1</v>
      </c>
      <c r="E394" t="s">
        <v>11</v>
      </c>
      <c r="F394" t="s">
        <v>15</v>
      </c>
      <c r="G394" t="s">
        <v>10</v>
      </c>
      <c r="H394">
        <f>IF(Table2[[#This Row],[on_time]]="Yes",1,0)</f>
        <v>1</v>
      </c>
    </row>
    <row r="395" spans="1:8">
      <c r="A395">
        <v>394</v>
      </c>
      <c r="B395" s="2">
        <v>45478</v>
      </c>
      <c r="C395" s="2">
        <v>45482</v>
      </c>
      <c r="D395">
        <v>4</v>
      </c>
      <c r="E395" t="s">
        <v>8</v>
      </c>
      <c r="F395" t="s">
        <v>15</v>
      </c>
      <c r="G395" t="s">
        <v>13</v>
      </c>
      <c r="H395">
        <f>IF(Table2[[#This Row],[on_time]]="Yes",1,0)</f>
        <v>0</v>
      </c>
    </row>
    <row r="396" spans="1:8">
      <c r="A396">
        <v>395</v>
      </c>
      <c r="B396" s="2">
        <v>45474</v>
      </c>
      <c r="C396" s="2">
        <v>45476</v>
      </c>
      <c r="D396">
        <v>2</v>
      </c>
      <c r="E396" t="s">
        <v>14</v>
      </c>
      <c r="F396" t="s">
        <v>9</v>
      </c>
      <c r="G396" t="s">
        <v>10</v>
      </c>
      <c r="H396">
        <f>IF(Table2[[#This Row],[on_time]]="Yes",1,0)</f>
        <v>1</v>
      </c>
    </row>
    <row r="397" spans="1:8">
      <c r="A397">
        <v>396</v>
      </c>
      <c r="B397" s="2">
        <v>45485</v>
      </c>
      <c r="C397" s="2">
        <v>45488</v>
      </c>
      <c r="D397">
        <v>3</v>
      </c>
      <c r="E397" t="s">
        <v>14</v>
      </c>
      <c r="F397" t="s">
        <v>15</v>
      </c>
      <c r="G397" t="s">
        <v>10</v>
      </c>
      <c r="H397">
        <f>IF(Table2[[#This Row],[on_time]]="Yes",1,0)</f>
        <v>1</v>
      </c>
    </row>
    <row r="398" spans="1:8">
      <c r="A398">
        <v>397</v>
      </c>
      <c r="B398" s="2">
        <v>45485</v>
      </c>
      <c r="C398" s="2">
        <v>45487</v>
      </c>
      <c r="D398">
        <v>2</v>
      </c>
      <c r="E398" t="s">
        <v>11</v>
      </c>
      <c r="F398" t="s">
        <v>12</v>
      </c>
      <c r="G398" t="s">
        <v>10</v>
      </c>
      <c r="H398">
        <f>IF(Table2[[#This Row],[on_time]]="Yes",1,0)</f>
        <v>1</v>
      </c>
    </row>
    <row r="399" spans="1:8">
      <c r="A399">
        <v>398</v>
      </c>
      <c r="B399" s="2">
        <v>45486</v>
      </c>
      <c r="C399" s="2">
        <v>45488</v>
      </c>
      <c r="D399">
        <v>2</v>
      </c>
      <c r="E399" t="s">
        <v>11</v>
      </c>
      <c r="F399" t="s">
        <v>9</v>
      </c>
      <c r="G399" t="s">
        <v>10</v>
      </c>
      <c r="H399">
        <f>IF(Table2[[#This Row],[on_time]]="Yes",1,0)</f>
        <v>1</v>
      </c>
    </row>
    <row r="400" spans="1:8">
      <c r="A400">
        <v>399</v>
      </c>
      <c r="B400" s="2">
        <v>45478</v>
      </c>
      <c r="C400" s="2">
        <v>45480</v>
      </c>
      <c r="D400">
        <v>2</v>
      </c>
      <c r="E400" t="s">
        <v>11</v>
      </c>
      <c r="F400" t="s">
        <v>12</v>
      </c>
      <c r="G400" t="s">
        <v>10</v>
      </c>
      <c r="H400">
        <f>IF(Table2[[#This Row],[on_time]]="Yes",1,0)</f>
        <v>1</v>
      </c>
    </row>
    <row r="401" spans="1:8">
      <c r="A401">
        <v>400</v>
      </c>
      <c r="B401" s="2">
        <v>45483</v>
      </c>
      <c r="C401" s="2">
        <v>45487</v>
      </c>
      <c r="D401">
        <v>4</v>
      </c>
      <c r="E401" t="s">
        <v>8</v>
      </c>
      <c r="F401" t="s">
        <v>15</v>
      </c>
      <c r="G401" t="s">
        <v>13</v>
      </c>
      <c r="H401">
        <f>IF(Table2[[#This Row],[on_time]]="Yes",1,0)</f>
        <v>0</v>
      </c>
    </row>
    <row r="402" spans="1:8">
      <c r="A402">
        <v>401</v>
      </c>
      <c r="B402" s="2">
        <v>45476</v>
      </c>
      <c r="C402" s="2">
        <v>45480</v>
      </c>
      <c r="D402">
        <v>4</v>
      </c>
      <c r="E402" t="s">
        <v>14</v>
      </c>
      <c r="F402" t="s">
        <v>9</v>
      </c>
      <c r="G402" t="s">
        <v>13</v>
      </c>
      <c r="H402">
        <f>IF(Table2[[#This Row],[on_time]]="Yes",1,0)</f>
        <v>0</v>
      </c>
    </row>
    <row r="403" spans="1:8">
      <c r="A403">
        <v>402</v>
      </c>
      <c r="B403" s="2">
        <v>45477</v>
      </c>
      <c r="C403" s="2">
        <v>45482</v>
      </c>
      <c r="D403">
        <v>5</v>
      </c>
      <c r="E403" t="s">
        <v>14</v>
      </c>
      <c r="F403" t="s">
        <v>12</v>
      </c>
      <c r="G403" t="s">
        <v>13</v>
      </c>
      <c r="H403">
        <f>IF(Table2[[#This Row],[on_time]]="Yes",1,0)</f>
        <v>0</v>
      </c>
    </row>
    <row r="404" spans="1:8">
      <c r="A404">
        <v>403</v>
      </c>
      <c r="B404" s="2">
        <v>45504</v>
      </c>
      <c r="C404" s="2">
        <v>45509</v>
      </c>
      <c r="D404">
        <v>5</v>
      </c>
      <c r="E404" t="s">
        <v>8</v>
      </c>
      <c r="F404" t="s">
        <v>15</v>
      </c>
      <c r="G404" t="s">
        <v>13</v>
      </c>
      <c r="H404">
        <f>IF(Table2[[#This Row],[on_time]]="Yes",1,0)</f>
        <v>0</v>
      </c>
    </row>
    <row r="405" spans="1:8">
      <c r="A405">
        <v>404</v>
      </c>
      <c r="B405" s="2">
        <v>45504</v>
      </c>
      <c r="C405" s="2">
        <v>45507</v>
      </c>
      <c r="D405">
        <v>3</v>
      </c>
      <c r="E405" t="s">
        <v>8</v>
      </c>
      <c r="F405" t="s">
        <v>12</v>
      </c>
      <c r="G405" t="s">
        <v>10</v>
      </c>
      <c r="H405">
        <f>IF(Table2[[#This Row],[on_time]]="Yes",1,0)</f>
        <v>1</v>
      </c>
    </row>
    <row r="406" spans="1:8">
      <c r="A406">
        <v>405</v>
      </c>
      <c r="B406" s="2">
        <v>45495</v>
      </c>
      <c r="C406" s="2">
        <v>45496</v>
      </c>
      <c r="D406">
        <v>1</v>
      </c>
      <c r="E406" t="s">
        <v>11</v>
      </c>
      <c r="F406" t="s">
        <v>9</v>
      </c>
      <c r="G406" t="s">
        <v>10</v>
      </c>
      <c r="H406">
        <f>IF(Table2[[#This Row],[on_time]]="Yes",1,0)</f>
        <v>1</v>
      </c>
    </row>
    <row r="407" spans="1:8">
      <c r="A407">
        <v>406</v>
      </c>
      <c r="B407" s="2">
        <v>45486</v>
      </c>
      <c r="C407" s="2">
        <v>45487</v>
      </c>
      <c r="D407">
        <v>1</v>
      </c>
      <c r="E407" t="s">
        <v>11</v>
      </c>
      <c r="F407" t="s">
        <v>12</v>
      </c>
      <c r="G407" t="s">
        <v>10</v>
      </c>
      <c r="H407">
        <f>IF(Table2[[#This Row],[on_time]]="Yes",1,0)</f>
        <v>1</v>
      </c>
    </row>
    <row r="408" spans="1:8">
      <c r="A408">
        <v>407</v>
      </c>
      <c r="B408" s="2">
        <v>45477</v>
      </c>
      <c r="C408" s="2">
        <v>45480</v>
      </c>
      <c r="D408">
        <v>3</v>
      </c>
      <c r="E408" t="s">
        <v>14</v>
      </c>
      <c r="F408" t="s">
        <v>9</v>
      </c>
      <c r="G408" t="s">
        <v>10</v>
      </c>
      <c r="H408">
        <f>IF(Table2[[#This Row],[on_time]]="Yes",1,0)</f>
        <v>1</v>
      </c>
    </row>
    <row r="409" spans="1:8">
      <c r="A409">
        <v>408</v>
      </c>
      <c r="B409" s="2">
        <v>45500</v>
      </c>
      <c r="C409" s="2">
        <v>45505</v>
      </c>
      <c r="D409">
        <v>5</v>
      </c>
      <c r="E409" t="s">
        <v>11</v>
      </c>
      <c r="F409" t="s">
        <v>9</v>
      </c>
      <c r="G409" t="s">
        <v>13</v>
      </c>
      <c r="H409">
        <f>IF(Table2[[#This Row],[on_time]]="Yes",1,0)</f>
        <v>0</v>
      </c>
    </row>
    <row r="410" spans="1:8">
      <c r="A410">
        <v>409</v>
      </c>
      <c r="B410" s="2">
        <v>45474</v>
      </c>
      <c r="C410" s="2">
        <v>45475</v>
      </c>
      <c r="D410">
        <v>1</v>
      </c>
      <c r="E410" t="s">
        <v>11</v>
      </c>
      <c r="F410" t="s">
        <v>9</v>
      </c>
      <c r="G410" t="s">
        <v>10</v>
      </c>
      <c r="H410">
        <f>IF(Table2[[#This Row],[on_time]]="Yes",1,0)</f>
        <v>1</v>
      </c>
    </row>
    <row r="411" spans="1:8">
      <c r="A411">
        <v>410</v>
      </c>
      <c r="B411" s="2">
        <v>45502</v>
      </c>
      <c r="C411" s="2">
        <v>45504</v>
      </c>
      <c r="D411">
        <v>2</v>
      </c>
      <c r="E411" t="s">
        <v>14</v>
      </c>
      <c r="F411" t="s">
        <v>15</v>
      </c>
      <c r="G411" t="s">
        <v>10</v>
      </c>
      <c r="H411">
        <f>IF(Table2[[#This Row],[on_time]]="Yes",1,0)</f>
        <v>1</v>
      </c>
    </row>
    <row r="412" spans="1:8">
      <c r="A412">
        <v>411</v>
      </c>
      <c r="B412" s="2">
        <v>45499</v>
      </c>
      <c r="C412" s="2">
        <v>45502</v>
      </c>
      <c r="D412">
        <v>3</v>
      </c>
      <c r="E412" t="s">
        <v>11</v>
      </c>
      <c r="F412" t="s">
        <v>12</v>
      </c>
      <c r="G412" t="s">
        <v>10</v>
      </c>
      <c r="H412">
        <f>IF(Table2[[#This Row],[on_time]]="Yes",1,0)</f>
        <v>1</v>
      </c>
    </row>
    <row r="413" spans="1:8">
      <c r="A413">
        <v>412</v>
      </c>
      <c r="B413" s="2">
        <v>45494</v>
      </c>
      <c r="C413" s="2">
        <v>45499</v>
      </c>
      <c r="D413">
        <v>5</v>
      </c>
      <c r="E413" t="s">
        <v>11</v>
      </c>
      <c r="F413" t="s">
        <v>9</v>
      </c>
      <c r="G413" t="s">
        <v>13</v>
      </c>
      <c r="H413">
        <f>IF(Table2[[#This Row],[on_time]]="Yes",1,0)</f>
        <v>0</v>
      </c>
    </row>
    <row r="414" spans="1:8">
      <c r="A414">
        <v>413</v>
      </c>
      <c r="B414" s="2">
        <v>45496</v>
      </c>
      <c r="C414" s="2">
        <v>45501</v>
      </c>
      <c r="D414">
        <v>5</v>
      </c>
      <c r="E414" t="s">
        <v>14</v>
      </c>
      <c r="F414" t="s">
        <v>12</v>
      </c>
      <c r="G414" t="s">
        <v>13</v>
      </c>
      <c r="H414">
        <f>IF(Table2[[#This Row],[on_time]]="Yes",1,0)</f>
        <v>0</v>
      </c>
    </row>
    <row r="415" spans="1:8">
      <c r="A415">
        <v>414</v>
      </c>
      <c r="B415" s="2">
        <v>45477</v>
      </c>
      <c r="C415" s="2">
        <v>45479</v>
      </c>
      <c r="D415">
        <v>2</v>
      </c>
      <c r="E415" t="s">
        <v>11</v>
      </c>
      <c r="F415" t="s">
        <v>9</v>
      </c>
      <c r="G415" t="s">
        <v>10</v>
      </c>
      <c r="H415">
        <f>IF(Table2[[#This Row],[on_time]]="Yes",1,0)</f>
        <v>1</v>
      </c>
    </row>
    <row r="416" spans="1:8">
      <c r="A416">
        <v>415</v>
      </c>
      <c r="B416" s="2">
        <v>45489</v>
      </c>
      <c r="C416" s="2">
        <v>45491</v>
      </c>
      <c r="D416">
        <v>2</v>
      </c>
      <c r="E416" t="s">
        <v>8</v>
      </c>
      <c r="F416" t="s">
        <v>15</v>
      </c>
      <c r="G416" t="s">
        <v>10</v>
      </c>
      <c r="H416">
        <f>IF(Table2[[#This Row],[on_time]]="Yes",1,0)</f>
        <v>1</v>
      </c>
    </row>
    <row r="417" spans="1:8">
      <c r="A417">
        <v>416</v>
      </c>
      <c r="B417" s="2">
        <v>45481</v>
      </c>
      <c r="C417" s="2">
        <v>45485</v>
      </c>
      <c r="D417">
        <v>4</v>
      </c>
      <c r="E417" t="s">
        <v>14</v>
      </c>
      <c r="F417" t="s">
        <v>15</v>
      </c>
      <c r="G417" t="s">
        <v>13</v>
      </c>
      <c r="H417">
        <f>IF(Table2[[#This Row],[on_time]]="Yes",1,0)</f>
        <v>0</v>
      </c>
    </row>
    <row r="418" spans="1:8">
      <c r="A418">
        <v>417</v>
      </c>
      <c r="B418" s="2">
        <v>45478</v>
      </c>
      <c r="C418" s="2">
        <v>45481</v>
      </c>
      <c r="D418">
        <v>3</v>
      </c>
      <c r="E418" t="s">
        <v>14</v>
      </c>
      <c r="F418" t="s">
        <v>15</v>
      </c>
      <c r="G418" t="s">
        <v>10</v>
      </c>
      <c r="H418">
        <f>IF(Table2[[#This Row],[on_time]]="Yes",1,0)</f>
        <v>1</v>
      </c>
    </row>
    <row r="419" spans="1:8">
      <c r="A419">
        <v>418</v>
      </c>
      <c r="B419" s="2">
        <v>45483</v>
      </c>
      <c r="C419" s="2">
        <v>45484</v>
      </c>
      <c r="D419">
        <v>1</v>
      </c>
      <c r="E419" t="s">
        <v>14</v>
      </c>
      <c r="F419" t="s">
        <v>12</v>
      </c>
      <c r="G419" t="s">
        <v>10</v>
      </c>
      <c r="H419">
        <f>IF(Table2[[#This Row],[on_time]]="Yes",1,0)</f>
        <v>1</v>
      </c>
    </row>
    <row r="420" spans="1:8">
      <c r="A420">
        <v>419</v>
      </c>
      <c r="B420" s="2">
        <v>45477</v>
      </c>
      <c r="C420" s="2">
        <v>45478</v>
      </c>
      <c r="D420">
        <v>1</v>
      </c>
      <c r="E420" t="s">
        <v>11</v>
      </c>
      <c r="F420" t="s">
        <v>9</v>
      </c>
      <c r="G420" t="s">
        <v>10</v>
      </c>
      <c r="H420">
        <f>IF(Table2[[#This Row],[on_time]]="Yes",1,0)</f>
        <v>1</v>
      </c>
    </row>
    <row r="421" spans="1:8">
      <c r="A421">
        <v>420</v>
      </c>
      <c r="B421" s="2">
        <v>45483</v>
      </c>
      <c r="C421" s="2">
        <v>45487</v>
      </c>
      <c r="D421">
        <v>4</v>
      </c>
      <c r="E421" t="s">
        <v>14</v>
      </c>
      <c r="F421" t="s">
        <v>12</v>
      </c>
      <c r="G421" t="s">
        <v>13</v>
      </c>
      <c r="H421">
        <f>IF(Table2[[#This Row],[on_time]]="Yes",1,0)</f>
        <v>0</v>
      </c>
    </row>
    <row r="422" spans="1:8">
      <c r="A422">
        <v>421</v>
      </c>
      <c r="B422" s="2">
        <v>45475</v>
      </c>
      <c r="C422" s="2">
        <v>45478</v>
      </c>
      <c r="D422">
        <v>3</v>
      </c>
      <c r="E422" t="s">
        <v>11</v>
      </c>
      <c r="F422" t="s">
        <v>12</v>
      </c>
      <c r="G422" t="s">
        <v>10</v>
      </c>
      <c r="H422">
        <f>IF(Table2[[#This Row],[on_time]]="Yes",1,0)</f>
        <v>1</v>
      </c>
    </row>
    <row r="423" spans="1:8">
      <c r="A423">
        <v>422</v>
      </c>
      <c r="B423" s="2">
        <v>45481</v>
      </c>
      <c r="C423" s="2">
        <v>45486</v>
      </c>
      <c r="D423">
        <v>5</v>
      </c>
      <c r="E423" t="s">
        <v>14</v>
      </c>
      <c r="F423" t="s">
        <v>12</v>
      </c>
      <c r="G423" t="s">
        <v>13</v>
      </c>
      <c r="H423">
        <f>IF(Table2[[#This Row],[on_time]]="Yes",1,0)</f>
        <v>0</v>
      </c>
    </row>
    <row r="424" spans="1:8">
      <c r="A424">
        <v>423</v>
      </c>
      <c r="B424" s="2">
        <v>45496</v>
      </c>
      <c r="C424" s="2">
        <v>45498</v>
      </c>
      <c r="D424">
        <v>2</v>
      </c>
      <c r="E424" t="s">
        <v>14</v>
      </c>
      <c r="F424" t="s">
        <v>12</v>
      </c>
      <c r="G424" t="s">
        <v>10</v>
      </c>
      <c r="H424">
        <f>IF(Table2[[#This Row],[on_time]]="Yes",1,0)</f>
        <v>1</v>
      </c>
    </row>
    <row r="425" spans="1:8">
      <c r="A425">
        <v>424</v>
      </c>
      <c r="B425" s="2">
        <v>45502</v>
      </c>
      <c r="C425" s="2">
        <v>45506</v>
      </c>
      <c r="D425">
        <v>4</v>
      </c>
      <c r="E425" t="s">
        <v>14</v>
      </c>
      <c r="F425" t="s">
        <v>12</v>
      </c>
      <c r="G425" t="s">
        <v>13</v>
      </c>
      <c r="H425">
        <f>IF(Table2[[#This Row],[on_time]]="Yes",1,0)</f>
        <v>0</v>
      </c>
    </row>
    <row r="426" spans="1:8">
      <c r="A426">
        <v>425</v>
      </c>
      <c r="B426" s="2">
        <v>45479</v>
      </c>
      <c r="C426" s="2">
        <v>45482</v>
      </c>
      <c r="D426">
        <v>3</v>
      </c>
      <c r="E426" t="s">
        <v>11</v>
      </c>
      <c r="F426" t="s">
        <v>9</v>
      </c>
      <c r="G426" t="s">
        <v>10</v>
      </c>
      <c r="H426">
        <f>IF(Table2[[#This Row],[on_time]]="Yes",1,0)</f>
        <v>1</v>
      </c>
    </row>
    <row r="427" spans="1:8">
      <c r="A427">
        <v>426</v>
      </c>
      <c r="B427" s="2">
        <v>45478</v>
      </c>
      <c r="C427" s="2">
        <v>45480</v>
      </c>
      <c r="D427">
        <v>2</v>
      </c>
      <c r="E427" t="s">
        <v>8</v>
      </c>
      <c r="F427" t="s">
        <v>12</v>
      </c>
      <c r="G427" t="s">
        <v>10</v>
      </c>
      <c r="H427">
        <f>IF(Table2[[#This Row],[on_time]]="Yes",1,0)</f>
        <v>1</v>
      </c>
    </row>
    <row r="428" spans="1:8">
      <c r="A428">
        <v>427</v>
      </c>
      <c r="B428" s="2">
        <v>45488</v>
      </c>
      <c r="C428" s="2">
        <v>45489</v>
      </c>
      <c r="D428">
        <v>1</v>
      </c>
      <c r="E428" t="s">
        <v>11</v>
      </c>
      <c r="F428" t="s">
        <v>12</v>
      </c>
      <c r="G428" t="s">
        <v>10</v>
      </c>
      <c r="H428">
        <f>IF(Table2[[#This Row],[on_time]]="Yes",1,0)</f>
        <v>1</v>
      </c>
    </row>
    <row r="429" spans="1:8">
      <c r="A429">
        <v>428</v>
      </c>
      <c r="B429" s="2">
        <v>45488</v>
      </c>
      <c r="C429" s="2">
        <v>45490</v>
      </c>
      <c r="D429">
        <v>2</v>
      </c>
      <c r="E429" t="s">
        <v>11</v>
      </c>
      <c r="F429" t="s">
        <v>9</v>
      </c>
      <c r="G429" t="s">
        <v>10</v>
      </c>
      <c r="H429">
        <f>IF(Table2[[#This Row],[on_time]]="Yes",1,0)</f>
        <v>1</v>
      </c>
    </row>
    <row r="430" spans="1:8">
      <c r="A430">
        <v>429</v>
      </c>
      <c r="B430" s="2">
        <v>45486</v>
      </c>
      <c r="C430" s="2">
        <v>45487</v>
      </c>
      <c r="D430">
        <v>1</v>
      </c>
      <c r="E430" t="s">
        <v>11</v>
      </c>
      <c r="F430" t="s">
        <v>9</v>
      </c>
      <c r="G430" t="s">
        <v>10</v>
      </c>
      <c r="H430">
        <f>IF(Table2[[#This Row],[on_time]]="Yes",1,0)</f>
        <v>1</v>
      </c>
    </row>
    <row r="431" spans="1:8">
      <c r="A431">
        <v>430</v>
      </c>
      <c r="B431" s="2">
        <v>45474</v>
      </c>
      <c r="C431" s="2">
        <v>45479</v>
      </c>
      <c r="D431">
        <v>5</v>
      </c>
      <c r="E431" t="s">
        <v>11</v>
      </c>
      <c r="F431" t="s">
        <v>12</v>
      </c>
      <c r="G431" t="s">
        <v>13</v>
      </c>
      <c r="H431">
        <f>IF(Table2[[#This Row],[on_time]]="Yes",1,0)</f>
        <v>0</v>
      </c>
    </row>
    <row r="432" spans="1:8">
      <c r="A432">
        <v>431</v>
      </c>
      <c r="B432" s="2">
        <v>45492</v>
      </c>
      <c r="C432" s="2">
        <v>45495</v>
      </c>
      <c r="D432">
        <v>3</v>
      </c>
      <c r="E432" t="s">
        <v>14</v>
      </c>
      <c r="F432" t="s">
        <v>9</v>
      </c>
      <c r="G432" t="s">
        <v>10</v>
      </c>
      <c r="H432">
        <f>IF(Table2[[#This Row],[on_time]]="Yes",1,0)</f>
        <v>1</v>
      </c>
    </row>
    <row r="433" spans="1:8">
      <c r="A433">
        <v>432</v>
      </c>
      <c r="B433" s="2">
        <v>45484</v>
      </c>
      <c r="C433" s="2">
        <v>45488</v>
      </c>
      <c r="D433">
        <v>4</v>
      </c>
      <c r="E433" t="s">
        <v>14</v>
      </c>
      <c r="F433" t="s">
        <v>9</v>
      </c>
      <c r="G433" t="s">
        <v>13</v>
      </c>
      <c r="H433">
        <f>IF(Table2[[#This Row],[on_time]]="Yes",1,0)</f>
        <v>0</v>
      </c>
    </row>
    <row r="434" spans="1:8">
      <c r="A434">
        <v>433</v>
      </c>
      <c r="B434" s="2">
        <v>45477</v>
      </c>
      <c r="C434" s="2">
        <v>45478</v>
      </c>
      <c r="D434">
        <v>1</v>
      </c>
      <c r="E434" t="s">
        <v>11</v>
      </c>
      <c r="F434" t="s">
        <v>12</v>
      </c>
      <c r="G434" t="s">
        <v>10</v>
      </c>
      <c r="H434">
        <f>IF(Table2[[#This Row],[on_time]]="Yes",1,0)</f>
        <v>1</v>
      </c>
    </row>
    <row r="435" spans="1:8">
      <c r="A435">
        <v>434</v>
      </c>
      <c r="B435" s="2">
        <v>45480</v>
      </c>
      <c r="C435" s="2">
        <v>45483</v>
      </c>
      <c r="D435">
        <v>3</v>
      </c>
      <c r="E435" t="s">
        <v>8</v>
      </c>
      <c r="F435" t="s">
        <v>12</v>
      </c>
      <c r="G435" t="s">
        <v>10</v>
      </c>
      <c r="H435">
        <f>IF(Table2[[#This Row],[on_time]]="Yes",1,0)</f>
        <v>1</v>
      </c>
    </row>
    <row r="436" spans="1:8">
      <c r="A436">
        <v>435</v>
      </c>
      <c r="B436" s="2">
        <v>45475</v>
      </c>
      <c r="C436" s="2">
        <v>45480</v>
      </c>
      <c r="D436">
        <v>5</v>
      </c>
      <c r="E436" t="s">
        <v>11</v>
      </c>
      <c r="F436" t="s">
        <v>12</v>
      </c>
      <c r="G436" t="s">
        <v>13</v>
      </c>
      <c r="H436">
        <f>IF(Table2[[#This Row],[on_time]]="Yes",1,0)</f>
        <v>0</v>
      </c>
    </row>
    <row r="437" spans="1:8">
      <c r="A437">
        <v>436</v>
      </c>
      <c r="B437" s="2">
        <v>45499</v>
      </c>
      <c r="C437" s="2">
        <v>45503</v>
      </c>
      <c r="D437">
        <v>4</v>
      </c>
      <c r="E437" t="s">
        <v>8</v>
      </c>
      <c r="F437" t="s">
        <v>12</v>
      </c>
      <c r="G437" t="s">
        <v>13</v>
      </c>
      <c r="H437">
        <f>IF(Table2[[#This Row],[on_time]]="Yes",1,0)</f>
        <v>0</v>
      </c>
    </row>
    <row r="438" spans="1:8">
      <c r="A438">
        <v>437</v>
      </c>
      <c r="B438" s="2">
        <v>45496</v>
      </c>
      <c r="C438" s="2">
        <v>45499</v>
      </c>
      <c r="D438">
        <v>3</v>
      </c>
      <c r="E438" t="s">
        <v>14</v>
      </c>
      <c r="F438" t="s">
        <v>9</v>
      </c>
      <c r="G438" t="s">
        <v>10</v>
      </c>
      <c r="H438">
        <f>IF(Table2[[#This Row],[on_time]]="Yes",1,0)</f>
        <v>1</v>
      </c>
    </row>
    <row r="439" spans="1:8">
      <c r="A439">
        <v>438</v>
      </c>
      <c r="B439" s="2">
        <v>45481</v>
      </c>
      <c r="C439" s="2">
        <v>45486</v>
      </c>
      <c r="D439">
        <v>5</v>
      </c>
      <c r="E439" t="s">
        <v>11</v>
      </c>
      <c r="F439" t="s">
        <v>15</v>
      </c>
      <c r="G439" t="s">
        <v>13</v>
      </c>
      <c r="H439">
        <f>IF(Table2[[#This Row],[on_time]]="Yes",1,0)</f>
        <v>0</v>
      </c>
    </row>
    <row r="440" spans="1:8">
      <c r="A440">
        <v>439</v>
      </c>
      <c r="B440" s="2">
        <v>45482</v>
      </c>
      <c r="C440" s="2">
        <v>45487</v>
      </c>
      <c r="D440">
        <v>5</v>
      </c>
      <c r="E440" t="s">
        <v>11</v>
      </c>
      <c r="F440" t="s">
        <v>12</v>
      </c>
      <c r="G440" t="s">
        <v>13</v>
      </c>
      <c r="H440">
        <f>IF(Table2[[#This Row],[on_time]]="Yes",1,0)</f>
        <v>0</v>
      </c>
    </row>
    <row r="441" spans="1:8">
      <c r="A441">
        <v>440</v>
      </c>
      <c r="B441" s="2">
        <v>45490</v>
      </c>
      <c r="C441" s="2">
        <v>45493</v>
      </c>
      <c r="D441">
        <v>3</v>
      </c>
      <c r="E441" t="s">
        <v>8</v>
      </c>
      <c r="F441" t="s">
        <v>9</v>
      </c>
      <c r="G441" t="s">
        <v>10</v>
      </c>
      <c r="H441">
        <f>IF(Table2[[#This Row],[on_time]]="Yes",1,0)</f>
        <v>1</v>
      </c>
    </row>
    <row r="442" spans="1:8">
      <c r="A442">
        <v>441</v>
      </c>
      <c r="B442" s="2">
        <v>45489</v>
      </c>
      <c r="C442" s="2">
        <v>45494</v>
      </c>
      <c r="D442">
        <v>5</v>
      </c>
      <c r="E442" t="s">
        <v>11</v>
      </c>
      <c r="F442" t="s">
        <v>12</v>
      </c>
      <c r="G442" t="s">
        <v>13</v>
      </c>
      <c r="H442">
        <f>IF(Table2[[#This Row],[on_time]]="Yes",1,0)</f>
        <v>0</v>
      </c>
    </row>
    <row r="443" spans="1:8">
      <c r="A443">
        <v>442</v>
      </c>
      <c r="B443" s="2">
        <v>45502</v>
      </c>
      <c r="C443" s="2">
        <v>45507</v>
      </c>
      <c r="D443">
        <v>5</v>
      </c>
      <c r="E443" t="s">
        <v>11</v>
      </c>
      <c r="F443" t="s">
        <v>9</v>
      </c>
      <c r="G443" t="s">
        <v>13</v>
      </c>
      <c r="H443">
        <f>IF(Table2[[#This Row],[on_time]]="Yes",1,0)</f>
        <v>0</v>
      </c>
    </row>
    <row r="444" spans="1:8">
      <c r="A444">
        <v>443</v>
      </c>
      <c r="B444" s="2">
        <v>45489</v>
      </c>
      <c r="C444" s="2">
        <v>45493</v>
      </c>
      <c r="D444">
        <v>4</v>
      </c>
      <c r="E444" t="s">
        <v>8</v>
      </c>
      <c r="F444" t="s">
        <v>12</v>
      </c>
      <c r="G444" t="s">
        <v>13</v>
      </c>
      <c r="H444">
        <f>IF(Table2[[#This Row],[on_time]]="Yes",1,0)</f>
        <v>0</v>
      </c>
    </row>
    <row r="445" spans="1:8">
      <c r="A445">
        <v>444</v>
      </c>
      <c r="B445" s="2">
        <v>45500</v>
      </c>
      <c r="C445" s="2">
        <v>45501</v>
      </c>
      <c r="D445">
        <v>1</v>
      </c>
      <c r="E445" t="s">
        <v>8</v>
      </c>
      <c r="F445" t="s">
        <v>12</v>
      </c>
      <c r="G445" t="s">
        <v>10</v>
      </c>
      <c r="H445">
        <f>IF(Table2[[#This Row],[on_time]]="Yes",1,0)</f>
        <v>1</v>
      </c>
    </row>
    <row r="446" spans="1:8">
      <c r="A446">
        <v>445</v>
      </c>
      <c r="B446" s="2">
        <v>45476</v>
      </c>
      <c r="C446" s="2">
        <v>45478</v>
      </c>
      <c r="D446">
        <v>2</v>
      </c>
      <c r="E446" t="s">
        <v>8</v>
      </c>
      <c r="F446" t="s">
        <v>9</v>
      </c>
      <c r="G446" t="s">
        <v>10</v>
      </c>
      <c r="H446">
        <f>IF(Table2[[#This Row],[on_time]]="Yes",1,0)</f>
        <v>1</v>
      </c>
    </row>
    <row r="447" spans="1:8">
      <c r="A447">
        <v>446</v>
      </c>
      <c r="B447" s="2">
        <v>45483</v>
      </c>
      <c r="C447" s="2">
        <v>45486</v>
      </c>
      <c r="D447">
        <v>3</v>
      </c>
      <c r="E447" t="s">
        <v>8</v>
      </c>
      <c r="F447" t="s">
        <v>15</v>
      </c>
      <c r="G447" t="s">
        <v>10</v>
      </c>
      <c r="H447">
        <f>IF(Table2[[#This Row],[on_time]]="Yes",1,0)</f>
        <v>1</v>
      </c>
    </row>
    <row r="448" spans="1:8">
      <c r="A448">
        <v>447</v>
      </c>
      <c r="B448" s="2">
        <v>45503</v>
      </c>
      <c r="C448" s="2">
        <v>45508</v>
      </c>
      <c r="D448">
        <v>5</v>
      </c>
      <c r="E448" t="s">
        <v>11</v>
      </c>
      <c r="F448" t="s">
        <v>9</v>
      </c>
      <c r="G448" t="s">
        <v>13</v>
      </c>
      <c r="H448">
        <f>IF(Table2[[#This Row],[on_time]]="Yes",1,0)</f>
        <v>0</v>
      </c>
    </row>
    <row r="449" spans="1:8">
      <c r="A449">
        <v>448</v>
      </c>
      <c r="B449" s="2">
        <v>45477</v>
      </c>
      <c r="C449" s="2">
        <v>45481</v>
      </c>
      <c r="D449">
        <v>4</v>
      </c>
      <c r="E449" t="s">
        <v>11</v>
      </c>
      <c r="F449" t="s">
        <v>12</v>
      </c>
      <c r="G449" t="s">
        <v>13</v>
      </c>
      <c r="H449">
        <f>IF(Table2[[#This Row],[on_time]]="Yes",1,0)</f>
        <v>0</v>
      </c>
    </row>
    <row r="450" spans="1:8">
      <c r="A450">
        <v>449</v>
      </c>
      <c r="B450" s="2">
        <v>45484</v>
      </c>
      <c r="C450" s="2">
        <v>45487</v>
      </c>
      <c r="D450">
        <v>3</v>
      </c>
      <c r="E450" t="s">
        <v>8</v>
      </c>
      <c r="F450" t="s">
        <v>15</v>
      </c>
      <c r="G450" t="s">
        <v>10</v>
      </c>
      <c r="H450">
        <f>IF(Table2[[#This Row],[on_time]]="Yes",1,0)</f>
        <v>1</v>
      </c>
    </row>
    <row r="451" spans="1:8">
      <c r="A451">
        <v>450</v>
      </c>
      <c r="B451" s="2">
        <v>45504</v>
      </c>
      <c r="C451" s="2">
        <v>45507</v>
      </c>
      <c r="D451">
        <v>3</v>
      </c>
      <c r="E451" t="s">
        <v>14</v>
      </c>
      <c r="F451" t="s">
        <v>12</v>
      </c>
      <c r="G451" t="s">
        <v>10</v>
      </c>
      <c r="H451">
        <f>IF(Table2[[#This Row],[on_time]]="Yes",1,0)</f>
        <v>1</v>
      </c>
    </row>
    <row r="452" spans="1:8">
      <c r="A452">
        <v>451</v>
      </c>
      <c r="B452" s="2">
        <v>45501</v>
      </c>
      <c r="C452" s="2">
        <v>45504</v>
      </c>
      <c r="D452">
        <v>3</v>
      </c>
      <c r="E452" t="s">
        <v>8</v>
      </c>
      <c r="F452" t="s">
        <v>12</v>
      </c>
      <c r="G452" t="s">
        <v>10</v>
      </c>
      <c r="H452">
        <f>IF(Table2[[#This Row],[on_time]]="Yes",1,0)</f>
        <v>1</v>
      </c>
    </row>
    <row r="453" spans="1:8">
      <c r="A453">
        <v>452</v>
      </c>
      <c r="B453" s="2">
        <v>45492</v>
      </c>
      <c r="C453" s="2">
        <v>45496</v>
      </c>
      <c r="D453">
        <v>4</v>
      </c>
      <c r="E453" t="s">
        <v>11</v>
      </c>
      <c r="F453" t="s">
        <v>12</v>
      </c>
      <c r="G453" t="s">
        <v>13</v>
      </c>
      <c r="H453">
        <f>IF(Table2[[#This Row],[on_time]]="Yes",1,0)</f>
        <v>0</v>
      </c>
    </row>
    <row r="454" spans="1:8">
      <c r="A454">
        <v>453</v>
      </c>
      <c r="B454" s="2">
        <v>45497</v>
      </c>
      <c r="C454" s="2">
        <v>45498</v>
      </c>
      <c r="D454">
        <v>1</v>
      </c>
      <c r="E454" t="s">
        <v>11</v>
      </c>
      <c r="F454" t="s">
        <v>15</v>
      </c>
      <c r="G454" t="s">
        <v>10</v>
      </c>
      <c r="H454">
        <f>IF(Table2[[#This Row],[on_time]]="Yes",1,0)</f>
        <v>1</v>
      </c>
    </row>
    <row r="455" spans="1:8">
      <c r="A455">
        <v>454</v>
      </c>
      <c r="B455" s="2">
        <v>45475</v>
      </c>
      <c r="C455" s="2">
        <v>45480</v>
      </c>
      <c r="D455">
        <v>5</v>
      </c>
      <c r="E455" t="s">
        <v>14</v>
      </c>
      <c r="F455" t="s">
        <v>12</v>
      </c>
      <c r="G455" t="s">
        <v>13</v>
      </c>
      <c r="H455">
        <f>IF(Table2[[#This Row],[on_time]]="Yes",1,0)</f>
        <v>0</v>
      </c>
    </row>
    <row r="456" spans="1:8">
      <c r="A456">
        <v>455</v>
      </c>
      <c r="B456" s="2">
        <v>45496</v>
      </c>
      <c r="C456" s="2">
        <v>45500</v>
      </c>
      <c r="D456">
        <v>4</v>
      </c>
      <c r="E456" t="s">
        <v>14</v>
      </c>
      <c r="F456" t="s">
        <v>9</v>
      </c>
      <c r="G456" t="s">
        <v>13</v>
      </c>
      <c r="H456">
        <f>IF(Table2[[#This Row],[on_time]]="Yes",1,0)</f>
        <v>0</v>
      </c>
    </row>
    <row r="457" spans="1:8">
      <c r="A457">
        <v>456</v>
      </c>
      <c r="B457" s="2">
        <v>45488</v>
      </c>
      <c r="C457" s="2">
        <v>45491</v>
      </c>
      <c r="D457">
        <v>3</v>
      </c>
      <c r="E457" t="s">
        <v>11</v>
      </c>
      <c r="F457" t="s">
        <v>9</v>
      </c>
      <c r="G457" t="s">
        <v>10</v>
      </c>
      <c r="H457">
        <f>IF(Table2[[#This Row],[on_time]]="Yes",1,0)</f>
        <v>1</v>
      </c>
    </row>
    <row r="458" spans="1:8">
      <c r="A458">
        <v>457</v>
      </c>
      <c r="B458" s="2">
        <v>45479</v>
      </c>
      <c r="C458" s="2">
        <v>45483</v>
      </c>
      <c r="D458">
        <v>4</v>
      </c>
      <c r="E458" t="s">
        <v>11</v>
      </c>
      <c r="F458" t="s">
        <v>15</v>
      </c>
      <c r="G458" t="s">
        <v>13</v>
      </c>
      <c r="H458">
        <f>IF(Table2[[#This Row],[on_time]]="Yes",1,0)</f>
        <v>0</v>
      </c>
    </row>
    <row r="459" spans="1:8">
      <c r="A459">
        <v>458</v>
      </c>
      <c r="B459" s="2">
        <v>45488</v>
      </c>
      <c r="C459" s="2">
        <v>45489</v>
      </c>
      <c r="D459">
        <v>1</v>
      </c>
      <c r="E459" t="s">
        <v>8</v>
      </c>
      <c r="F459" t="s">
        <v>9</v>
      </c>
      <c r="G459" t="s">
        <v>10</v>
      </c>
      <c r="H459">
        <f>IF(Table2[[#This Row],[on_time]]="Yes",1,0)</f>
        <v>1</v>
      </c>
    </row>
    <row r="460" spans="1:8">
      <c r="A460">
        <v>459</v>
      </c>
      <c r="B460" s="2">
        <v>45486</v>
      </c>
      <c r="C460" s="2">
        <v>45490</v>
      </c>
      <c r="D460">
        <v>4</v>
      </c>
      <c r="E460" t="s">
        <v>11</v>
      </c>
      <c r="F460" t="s">
        <v>15</v>
      </c>
      <c r="G460" t="s">
        <v>13</v>
      </c>
      <c r="H460">
        <f>IF(Table2[[#This Row],[on_time]]="Yes",1,0)</f>
        <v>0</v>
      </c>
    </row>
    <row r="461" spans="1:8">
      <c r="A461">
        <v>460</v>
      </c>
      <c r="B461" s="2">
        <v>45474</v>
      </c>
      <c r="C461" s="2">
        <v>45476</v>
      </c>
      <c r="D461">
        <v>2</v>
      </c>
      <c r="E461" t="s">
        <v>8</v>
      </c>
      <c r="F461" t="s">
        <v>15</v>
      </c>
      <c r="G461" t="s">
        <v>10</v>
      </c>
      <c r="H461">
        <f>IF(Table2[[#This Row],[on_time]]="Yes",1,0)</f>
        <v>1</v>
      </c>
    </row>
    <row r="462" spans="1:8">
      <c r="A462">
        <v>461</v>
      </c>
      <c r="B462" s="2">
        <v>45496</v>
      </c>
      <c r="C462" s="2">
        <v>45501</v>
      </c>
      <c r="D462">
        <v>5</v>
      </c>
      <c r="E462" t="s">
        <v>11</v>
      </c>
      <c r="F462" t="s">
        <v>15</v>
      </c>
      <c r="G462" t="s">
        <v>13</v>
      </c>
      <c r="H462">
        <f>IF(Table2[[#This Row],[on_time]]="Yes",1,0)</f>
        <v>0</v>
      </c>
    </row>
    <row r="463" spans="1:8">
      <c r="A463">
        <v>462</v>
      </c>
      <c r="B463" s="2">
        <v>45504</v>
      </c>
      <c r="C463" s="2">
        <v>45505</v>
      </c>
      <c r="D463">
        <v>1</v>
      </c>
      <c r="E463" t="s">
        <v>8</v>
      </c>
      <c r="F463" t="s">
        <v>15</v>
      </c>
      <c r="G463" t="s">
        <v>10</v>
      </c>
      <c r="H463">
        <f>IF(Table2[[#This Row],[on_time]]="Yes",1,0)</f>
        <v>1</v>
      </c>
    </row>
    <row r="464" spans="1:8">
      <c r="A464">
        <v>463</v>
      </c>
      <c r="B464" s="2">
        <v>45497</v>
      </c>
      <c r="C464" s="2">
        <v>45498</v>
      </c>
      <c r="D464">
        <v>1</v>
      </c>
      <c r="E464" t="s">
        <v>8</v>
      </c>
      <c r="F464" t="s">
        <v>12</v>
      </c>
      <c r="G464" t="s">
        <v>10</v>
      </c>
      <c r="H464">
        <f>IF(Table2[[#This Row],[on_time]]="Yes",1,0)</f>
        <v>1</v>
      </c>
    </row>
    <row r="465" spans="1:8">
      <c r="A465">
        <v>464</v>
      </c>
      <c r="B465" s="2">
        <v>45487</v>
      </c>
      <c r="C465" s="2">
        <v>45492</v>
      </c>
      <c r="D465">
        <v>5</v>
      </c>
      <c r="E465" t="s">
        <v>8</v>
      </c>
      <c r="F465" t="s">
        <v>9</v>
      </c>
      <c r="G465" t="s">
        <v>13</v>
      </c>
      <c r="H465">
        <f>IF(Table2[[#This Row],[on_time]]="Yes",1,0)</f>
        <v>0</v>
      </c>
    </row>
    <row r="466" spans="1:8">
      <c r="A466">
        <v>465</v>
      </c>
      <c r="B466" s="2">
        <v>45490</v>
      </c>
      <c r="C466" s="2">
        <v>45491</v>
      </c>
      <c r="D466">
        <v>1</v>
      </c>
      <c r="E466" t="s">
        <v>11</v>
      </c>
      <c r="F466" t="s">
        <v>9</v>
      </c>
      <c r="G466" t="s">
        <v>10</v>
      </c>
      <c r="H466">
        <f>IF(Table2[[#This Row],[on_time]]="Yes",1,0)</f>
        <v>1</v>
      </c>
    </row>
    <row r="467" spans="1:8">
      <c r="A467">
        <v>466</v>
      </c>
      <c r="B467" s="2">
        <v>45500</v>
      </c>
      <c r="C467" s="2">
        <v>45505</v>
      </c>
      <c r="D467">
        <v>5</v>
      </c>
      <c r="E467" t="s">
        <v>8</v>
      </c>
      <c r="F467" t="s">
        <v>15</v>
      </c>
      <c r="G467" t="s">
        <v>13</v>
      </c>
      <c r="H467">
        <f>IF(Table2[[#This Row],[on_time]]="Yes",1,0)</f>
        <v>0</v>
      </c>
    </row>
    <row r="468" spans="1:8">
      <c r="A468">
        <v>467</v>
      </c>
      <c r="B468" s="2">
        <v>45478</v>
      </c>
      <c r="C468" s="2">
        <v>45480</v>
      </c>
      <c r="D468">
        <v>2</v>
      </c>
      <c r="E468" t="s">
        <v>14</v>
      </c>
      <c r="F468" t="s">
        <v>9</v>
      </c>
      <c r="G468" t="s">
        <v>10</v>
      </c>
      <c r="H468">
        <f>IF(Table2[[#This Row],[on_time]]="Yes",1,0)</f>
        <v>1</v>
      </c>
    </row>
    <row r="469" spans="1:8">
      <c r="A469">
        <v>468</v>
      </c>
      <c r="B469" s="2">
        <v>45488</v>
      </c>
      <c r="C469" s="2">
        <v>45493</v>
      </c>
      <c r="D469">
        <v>5</v>
      </c>
      <c r="E469" t="s">
        <v>14</v>
      </c>
      <c r="F469" t="s">
        <v>12</v>
      </c>
      <c r="G469" t="s">
        <v>13</v>
      </c>
      <c r="H469">
        <f>IF(Table2[[#This Row],[on_time]]="Yes",1,0)</f>
        <v>0</v>
      </c>
    </row>
    <row r="470" spans="1:8">
      <c r="A470">
        <v>469</v>
      </c>
      <c r="B470" s="2">
        <v>45501</v>
      </c>
      <c r="C470" s="2">
        <v>45505</v>
      </c>
      <c r="D470">
        <v>4</v>
      </c>
      <c r="E470" t="s">
        <v>8</v>
      </c>
      <c r="F470" t="s">
        <v>15</v>
      </c>
      <c r="G470" t="s">
        <v>13</v>
      </c>
      <c r="H470">
        <f>IF(Table2[[#This Row],[on_time]]="Yes",1,0)</f>
        <v>0</v>
      </c>
    </row>
    <row r="471" spans="1:8">
      <c r="A471">
        <v>470</v>
      </c>
      <c r="B471" s="2">
        <v>45498</v>
      </c>
      <c r="C471" s="2">
        <v>45502</v>
      </c>
      <c r="D471">
        <v>4</v>
      </c>
      <c r="E471" t="s">
        <v>11</v>
      </c>
      <c r="F471" t="s">
        <v>15</v>
      </c>
      <c r="G471" t="s">
        <v>13</v>
      </c>
      <c r="H471">
        <f>IF(Table2[[#This Row],[on_time]]="Yes",1,0)</f>
        <v>0</v>
      </c>
    </row>
    <row r="472" spans="1:8">
      <c r="A472">
        <v>471</v>
      </c>
      <c r="B472" s="2">
        <v>45499</v>
      </c>
      <c r="C472" s="2">
        <v>45501</v>
      </c>
      <c r="D472">
        <v>2</v>
      </c>
      <c r="E472" t="s">
        <v>14</v>
      </c>
      <c r="F472" t="s">
        <v>15</v>
      </c>
      <c r="G472" t="s">
        <v>10</v>
      </c>
      <c r="H472">
        <f>IF(Table2[[#This Row],[on_time]]="Yes",1,0)</f>
        <v>1</v>
      </c>
    </row>
    <row r="473" spans="1:8">
      <c r="A473">
        <v>472</v>
      </c>
      <c r="B473" s="2">
        <v>45504</v>
      </c>
      <c r="C473" s="2">
        <v>45505</v>
      </c>
      <c r="D473">
        <v>1</v>
      </c>
      <c r="E473" t="s">
        <v>14</v>
      </c>
      <c r="F473" t="s">
        <v>12</v>
      </c>
      <c r="G473" t="s">
        <v>10</v>
      </c>
      <c r="H473">
        <f>IF(Table2[[#This Row],[on_time]]="Yes",1,0)</f>
        <v>1</v>
      </c>
    </row>
    <row r="474" spans="1:8">
      <c r="A474">
        <v>473</v>
      </c>
      <c r="B474" s="2">
        <v>45490</v>
      </c>
      <c r="C474" s="2">
        <v>45491</v>
      </c>
      <c r="D474">
        <v>1</v>
      </c>
      <c r="E474" t="s">
        <v>11</v>
      </c>
      <c r="F474" t="s">
        <v>15</v>
      </c>
      <c r="G474" t="s">
        <v>10</v>
      </c>
      <c r="H474">
        <f>IF(Table2[[#This Row],[on_time]]="Yes",1,0)</f>
        <v>1</v>
      </c>
    </row>
    <row r="475" spans="1:8">
      <c r="A475">
        <v>474</v>
      </c>
      <c r="B475" s="2">
        <v>45479</v>
      </c>
      <c r="C475" s="2">
        <v>45483</v>
      </c>
      <c r="D475">
        <v>4</v>
      </c>
      <c r="E475" t="s">
        <v>11</v>
      </c>
      <c r="F475" t="s">
        <v>15</v>
      </c>
      <c r="G475" t="s">
        <v>13</v>
      </c>
      <c r="H475">
        <f>IF(Table2[[#This Row],[on_time]]="Yes",1,0)</f>
        <v>0</v>
      </c>
    </row>
    <row r="476" spans="1:8">
      <c r="A476">
        <v>475</v>
      </c>
      <c r="B476" s="2">
        <v>45481</v>
      </c>
      <c r="C476" s="2">
        <v>45483</v>
      </c>
      <c r="D476">
        <v>2</v>
      </c>
      <c r="E476" t="s">
        <v>11</v>
      </c>
      <c r="F476" t="s">
        <v>15</v>
      </c>
      <c r="G476" t="s">
        <v>10</v>
      </c>
      <c r="H476">
        <f>IF(Table2[[#This Row],[on_time]]="Yes",1,0)</f>
        <v>1</v>
      </c>
    </row>
    <row r="477" spans="1:8">
      <c r="A477">
        <v>476</v>
      </c>
      <c r="B477" s="2">
        <v>45477</v>
      </c>
      <c r="C477" s="2">
        <v>45482</v>
      </c>
      <c r="D477">
        <v>5</v>
      </c>
      <c r="E477" t="s">
        <v>8</v>
      </c>
      <c r="F477" t="s">
        <v>9</v>
      </c>
      <c r="G477" t="s">
        <v>13</v>
      </c>
      <c r="H477">
        <f>IF(Table2[[#This Row],[on_time]]="Yes",1,0)</f>
        <v>0</v>
      </c>
    </row>
    <row r="478" spans="1:8">
      <c r="A478">
        <v>477</v>
      </c>
      <c r="B478" s="2">
        <v>45501</v>
      </c>
      <c r="C478" s="2">
        <v>45504</v>
      </c>
      <c r="D478">
        <v>3</v>
      </c>
      <c r="E478" t="s">
        <v>14</v>
      </c>
      <c r="F478" t="s">
        <v>15</v>
      </c>
      <c r="G478" t="s">
        <v>10</v>
      </c>
      <c r="H478">
        <f>IF(Table2[[#This Row],[on_time]]="Yes",1,0)</f>
        <v>1</v>
      </c>
    </row>
    <row r="479" spans="1:8">
      <c r="A479">
        <v>478</v>
      </c>
      <c r="B479" s="2">
        <v>45480</v>
      </c>
      <c r="C479" s="2">
        <v>45481</v>
      </c>
      <c r="D479">
        <v>1</v>
      </c>
      <c r="E479" t="s">
        <v>8</v>
      </c>
      <c r="F479" t="s">
        <v>15</v>
      </c>
      <c r="G479" t="s">
        <v>10</v>
      </c>
      <c r="H479">
        <f>IF(Table2[[#This Row],[on_time]]="Yes",1,0)</f>
        <v>1</v>
      </c>
    </row>
    <row r="480" spans="1:8">
      <c r="A480">
        <v>479</v>
      </c>
      <c r="B480" s="2">
        <v>45486</v>
      </c>
      <c r="C480" s="2">
        <v>45490</v>
      </c>
      <c r="D480">
        <v>4</v>
      </c>
      <c r="E480" t="s">
        <v>14</v>
      </c>
      <c r="F480" t="s">
        <v>12</v>
      </c>
      <c r="G480" t="s">
        <v>13</v>
      </c>
      <c r="H480">
        <f>IF(Table2[[#This Row],[on_time]]="Yes",1,0)</f>
        <v>0</v>
      </c>
    </row>
    <row r="481" spans="1:8">
      <c r="A481">
        <v>480</v>
      </c>
      <c r="B481" s="2">
        <v>45476</v>
      </c>
      <c r="C481" s="2">
        <v>45478</v>
      </c>
      <c r="D481">
        <v>2</v>
      </c>
      <c r="E481" t="s">
        <v>11</v>
      </c>
      <c r="F481" t="s">
        <v>9</v>
      </c>
      <c r="G481" t="s">
        <v>10</v>
      </c>
      <c r="H481">
        <f>IF(Table2[[#This Row],[on_time]]="Yes",1,0)</f>
        <v>1</v>
      </c>
    </row>
    <row r="482" spans="1:8">
      <c r="A482">
        <v>481</v>
      </c>
      <c r="B482" s="2">
        <v>45484</v>
      </c>
      <c r="C482" s="2">
        <v>45485</v>
      </c>
      <c r="D482">
        <v>1</v>
      </c>
      <c r="E482" t="s">
        <v>14</v>
      </c>
      <c r="F482" t="s">
        <v>12</v>
      </c>
      <c r="G482" t="s">
        <v>10</v>
      </c>
      <c r="H482">
        <f>IF(Table2[[#This Row],[on_time]]="Yes",1,0)</f>
        <v>1</v>
      </c>
    </row>
    <row r="483" spans="1:8">
      <c r="A483">
        <v>482</v>
      </c>
      <c r="B483" s="2">
        <v>45478</v>
      </c>
      <c r="C483" s="2">
        <v>45479</v>
      </c>
      <c r="D483">
        <v>1</v>
      </c>
      <c r="E483" t="s">
        <v>11</v>
      </c>
      <c r="F483" t="s">
        <v>15</v>
      </c>
      <c r="G483" t="s">
        <v>10</v>
      </c>
      <c r="H483">
        <f>IF(Table2[[#This Row],[on_time]]="Yes",1,0)</f>
        <v>1</v>
      </c>
    </row>
    <row r="484" spans="1:8">
      <c r="A484">
        <v>483</v>
      </c>
      <c r="B484" s="2">
        <v>45493</v>
      </c>
      <c r="C484" s="2">
        <v>45496</v>
      </c>
      <c r="D484">
        <v>3</v>
      </c>
      <c r="E484" t="s">
        <v>14</v>
      </c>
      <c r="F484" t="s">
        <v>12</v>
      </c>
      <c r="G484" t="s">
        <v>10</v>
      </c>
      <c r="H484">
        <f>IF(Table2[[#This Row],[on_time]]="Yes",1,0)</f>
        <v>1</v>
      </c>
    </row>
    <row r="485" spans="1:8">
      <c r="A485">
        <v>484</v>
      </c>
      <c r="B485" s="2">
        <v>45491</v>
      </c>
      <c r="C485" s="2">
        <v>45492</v>
      </c>
      <c r="D485">
        <v>1</v>
      </c>
      <c r="E485" t="s">
        <v>11</v>
      </c>
      <c r="F485" t="s">
        <v>12</v>
      </c>
      <c r="G485" t="s">
        <v>10</v>
      </c>
      <c r="H485">
        <f>IF(Table2[[#This Row],[on_time]]="Yes",1,0)</f>
        <v>1</v>
      </c>
    </row>
    <row r="486" spans="1:8">
      <c r="A486">
        <v>485</v>
      </c>
      <c r="B486" s="2">
        <v>45489</v>
      </c>
      <c r="C486" s="2">
        <v>45493</v>
      </c>
      <c r="D486">
        <v>4</v>
      </c>
      <c r="E486" t="s">
        <v>8</v>
      </c>
      <c r="F486" t="s">
        <v>9</v>
      </c>
      <c r="G486" t="s">
        <v>13</v>
      </c>
      <c r="H486">
        <f>IF(Table2[[#This Row],[on_time]]="Yes",1,0)</f>
        <v>0</v>
      </c>
    </row>
    <row r="487" spans="1:8">
      <c r="A487">
        <v>486</v>
      </c>
      <c r="B487" s="2">
        <v>45479</v>
      </c>
      <c r="C487" s="2">
        <v>45483</v>
      </c>
      <c r="D487">
        <v>4</v>
      </c>
      <c r="E487" t="s">
        <v>8</v>
      </c>
      <c r="F487" t="s">
        <v>9</v>
      </c>
      <c r="G487" t="s">
        <v>13</v>
      </c>
      <c r="H487">
        <f>IF(Table2[[#This Row],[on_time]]="Yes",1,0)</f>
        <v>0</v>
      </c>
    </row>
    <row r="488" spans="1:8">
      <c r="A488">
        <v>487</v>
      </c>
      <c r="B488" s="2">
        <v>45474</v>
      </c>
      <c r="C488" s="2">
        <v>45476</v>
      </c>
      <c r="D488">
        <v>2</v>
      </c>
      <c r="E488" t="s">
        <v>14</v>
      </c>
      <c r="F488" t="s">
        <v>9</v>
      </c>
      <c r="G488" t="s">
        <v>10</v>
      </c>
      <c r="H488">
        <f>IF(Table2[[#This Row],[on_time]]="Yes",1,0)</f>
        <v>1</v>
      </c>
    </row>
    <row r="489" spans="1:8">
      <c r="A489">
        <v>488</v>
      </c>
      <c r="B489" s="2">
        <v>45474</v>
      </c>
      <c r="C489" s="2">
        <v>45479</v>
      </c>
      <c r="D489">
        <v>5</v>
      </c>
      <c r="E489" t="s">
        <v>11</v>
      </c>
      <c r="F489" t="s">
        <v>9</v>
      </c>
      <c r="G489" t="s">
        <v>13</v>
      </c>
      <c r="H489">
        <f>IF(Table2[[#This Row],[on_time]]="Yes",1,0)</f>
        <v>0</v>
      </c>
    </row>
    <row r="490" spans="1:8">
      <c r="A490">
        <v>489</v>
      </c>
      <c r="B490" s="2">
        <v>45493</v>
      </c>
      <c r="C490" s="2">
        <v>45495</v>
      </c>
      <c r="D490">
        <v>2</v>
      </c>
      <c r="E490" t="s">
        <v>14</v>
      </c>
      <c r="F490" t="s">
        <v>15</v>
      </c>
      <c r="G490" t="s">
        <v>10</v>
      </c>
      <c r="H490">
        <f>IF(Table2[[#This Row],[on_time]]="Yes",1,0)</f>
        <v>1</v>
      </c>
    </row>
    <row r="491" spans="1:8">
      <c r="A491">
        <v>490</v>
      </c>
      <c r="B491" s="2">
        <v>45474</v>
      </c>
      <c r="C491" s="2">
        <v>45476</v>
      </c>
      <c r="D491">
        <v>2</v>
      </c>
      <c r="E491" t="s">
        <v>11</v>
      </c>
      <c r="F491" t="s">
        <v>15</v>
      </c>
      <c r="G491" t="s">
        <v>10</v>
      </c>
      <c r="H491">
        <f>IF(Table2[[#This Row],[on_time]]="Yes",1,0)</f>
        <v>1</v>
      </c>
    </row>
    <row r="492" spans="1:8">
      <c r="A492">
        <v>491</v>
      </c>
      <c r="B492" s="2">
        <v>45501</v>
      </c>
      <c r="C492" s="2">
        <v>45504</v>
      </c>
      <c r="D492">
        <v>3</v>
      </c>
      <c r="E492" t="s">
        <v>8</v>
      </c>
      <c r="F492" t="s">
        <v>15</v>
      </c>
      <c r="G492" t="s">
        <v>10</v>
      </c>
      <c r="H492">
        <f>IF(Table2[[#This Row],[on_time]]="Yes",1,0)</f>
        <v>1</v>
      </c>
    </row>
    <row r="493" spans="1:8">
      <c r="A493">
        <v>492</v>
      </c>
      <c r="B493" s="2">
        <v>45491</v>
      </c>
      <c r="C493" s="2">
        <v>45494</v>
      </c>
      <c r="D493">
        <v>3</v>
      </c>
      <c r="E493" t="s">
        <v>11</v>
      </c>
      <c r="F493" t="s">
        <v>12</v>
      </c>
      <c r="G493" t="s">
        <v>10</v>
      </c>
      <c r="H493">
        <f>IF(Table2[[#This Row],[on_time]]="Yes",1,0)</f>
        <v>1</v>
      </c>
    </row>
    <row r="494" spans="1:8">
      <c r="A494">
        <v>493</v>
      </c>
      <c r="B494" s="2">
        <v>45496</v>
      </c>
      <c r="C494" s="2">
        <v>45501</v>
      </c>
      <c r="D494">
        <v>5</v>
      </c>
      <c r="E494" t="s">
        <v>11</v>
      </c>
      <c r="F494" t="s">
        <v>9</v>
      </c>
      <c r="G494" t="s">
        <v>13</v>
      </c>
      <c r="H494">
        <f>IF(Table2[[#This Row],[on_time]]="Yes",1,0)</f>
        <v>0</v>
      </c>
    </row>
    <row r="495" spans="1:8">
      <c r="A495">
        <v>494</v>
      </c>
      <c r="B495" s="2">
        <v>45477</v>
      </c>
      <c r="C495" s="2">
        <v>45480</v>
      </c>
      <c r="D495">
        <v>3</v>
      </c>
      <c r="E495" t="s">
        <v>8</v>
      </c>
      <c r="F495" t="s">
        <v>12</v>
      </c>
      <c r="G495" t="s">
        <v>10</v>
      </c>
      <c r="H495">
        <f>IF(Table2[[#This Row],[on_time]]="Yes",1,0)</f>
        <v>1</v>
      </c>
    </row>
    <row r="496" spans="1:8">
      <c r="A496">
        <v>495</v>
      </c>
      <c r="B496" s="2">
        <v>45484</v>
      </c>
      <c r="C496" s="2">
        <v>45488</v>
      </c>
      <c r="D496">
        <v>4</v>
      </c>
      <c r="E496" t="s">
        <v>14</v>
      </c>
      <c r="F496" t="s">
        <v>9</v>
      </c>
      <c r="G496" t="s">
        <v>13</v>
      </c>
      <c r="H496">
        <f>IF(Table2[[#This Row],[on_time]]="Yes",1,0)</f>
        <v>0</v>
      </c>
    </row>
    <row r="497" spans="1:8">
      <c r="A497">
        <v>496</v>
      </c>
      <c r="B497" s="2">
        <v>45488</v>
      </c>
      <c r="C497" s="2">
        <v>45492</v>
      </c>
      <c r="D497">
        <v>4</v>
      </c>
      <c r="E497" t="s">
        <v>11</v>
      </c>
      <c r="F497" t="s">
        <v>12</v>
      </c>
      <c r="G497" t="s">
        <v>13</v>
      </c>
      <c r="H497">
        <f>IF(Table2[[#This Row],[on_time]]="Yes",1,0)</f>
        <v>0</v>
      </c>
    </row>
    <row r="498" spans="1:8">
      <c r="A498">
        <v>497</v>
      </c>
      <c r="B498" s="2">
        <v>45484</v>
      </c>
      <c r="C498" s="2">
        <v>45487</v>
      </c>
      <c r="D498">
        <v>3</v>
      </c>
      <c r="E498" t="s">
        <v>14</v>
      </c>
      <c r="F498" t="s">
        <v>9</v>
      </c>
      <c r="G498" t="s">
        <v>10</v>
      </c>
      <c r="H498">
        <f>IF(Table2[[#This Row],[on_time]]="Yes",1,0)</f>
        <v>1</v>
      </c>
    </row>
    <row r="499" spans="1:8">
      <c r="A499">
        <v>498</v>
      </c>
      <c r="B499" s="2">
        <v>45490</v>
      </c>
      <c r="C499" s="2">
        <v>45491</v>
      </c>
      <c r="D499">
        <v>1</v>
      </c>
      <c r="E499" t="s">
        <v>8</v>
      </c>
      <c r="F499" t="s">
        <v>9</v>
      </c>
      <c r="G499" t="s">
        <v>10</v>
      </c>
      <c r="H499">
        <f>IF(Table2[[#This Row],[on_time]]="Yes",1,0)</f>
        <v>1</v>
      </c>
    </row>
    <row r="500" spans="1:8">
      <c r="A500">
        <v>499</v>
      </c>
      <c r="B500" s="2">
        <v>45497</v>
      </c>
      <c r="C500" s="2">
        <v>45502</v>
      </c>
      <c r="D500">
        <v>5</v>
      </c>
      <c r="E500" t="s">
        <v>14</v>
      </c>
      <c r="F500" t="s">
        <v>15</v>
      </c>
      <c r="G500" t="s">
        <v>13</v>
      </c>
      <c r="H500">
        <f>IF(Table2[[#This Row],[on_time]]="Yes",1,0)</f>
        <v>0</v>
      </c>
    </row>
    <row r="501" spans="1:8">
      <c r="A501">
        <v>500</v>
      </c>
      <c r="B501" s="2">
        <v>45475</v>
      </c>
      <c r="C501" s="2">
        <v>45480</v>
      </c>
      <c r="D501">
        <v>5</v>
      </c>
      <c r="E501" t="s">
        <v>11</v>
      </c>
      <c r="F501" t="s">
        <v>12</v>
      </c>
      <c r="G501" t="s">
        <v>13</v>
      </c>
      <c r="H501">
        <f>IF(Table2[[#This Row],[on_time]]="Yes",1,0)</f>
        <v>0</v>
      </c>
    </row>
    <row r="502" spans="1:8">
      <c r="A502">
        <v>501</v>
      </c>
      <c r="B502" s="2">
        <v>45498</v>
      </c>
      <c r="C502" s="2">
        <v>45503</v>
      </c>
      <c r="D502">
        <v>5</v>
      </c>
      <c r="E502" t="s">
        <v>14</v>
      </c>
      <c r="F502" t="s">
        <v>9</v>
      </c>
      <c r="G502" t="s">
        <v>13</v>
      </c>
      <c r="H502">
        <f>IF(Table2[[#This Row],[on_time]]="Yes",1,0)</f>
        <v>0</v>
      </c>
    </row>
    <row r="503" spans="1:8">
      <c r="A503">
        <v>502</v>
      </c>
      <c r="B503" s="2">
        <v>45474</v>
      </c>
      <c r="C503" s="2">
        <v>45478</v>
      </c>
      <c r="D503">
        <v>4</v>
      </c>
      <c r="E503" t="s">
        <v>8</v>
      </c>
      <c r="F503" t="s">
        <v>9</v>
      </c>
      <c r="G503" t="s">
        <v>13</v>
      </c>
      <c r="H503">
        <f>IF(Table2[[#This Row],[on_time]]="Yes",1,0)</f>
        <v>0</v>
      </c>
    </row>
    <row r="504" spans="1:8">
      <c r="A504">
        <v>503</v>
      </c>
      <c r="B504" s="2">
        <v>45495</v>
      </c>
      <c r="C504" s="2">
        <v>45498</v>
      </c>
      <c r="D504">
        <v>3</v>
      </c>
      <c r="E504" t="s">
        <v>11</v>
      </c>
      <c r="F504" t="s">
        <v>12</v>
      </c>
      <c r="G504" t="s">
        <v>10</v>
      </c>
      <c r="H504">
        <f>IF(Table2[[#This Row],[on_time]]="Yes",1,0)</f>
        <v>1</v>
      </c>
    </row>
    <row r="505" spans="1:8">
      <c r="A505">
        <v>504</v>
      </c>
      <c r="B505" s="2">
        <v>45489</v>
      </c>
      <c r="C505" s="2">
        <v>45493</v>
      </c>
      <c r="D505">
        <v>4</v>
      </c>
      <c r="E505" t="s">
        <v>8</v>
      </c>
      <c r="F505" t="s">
        <v>12</v>
      </c>
      <c r="G505" t="s">
        <v>13</v>
      </c>
      <c r="H505">
        <f>IF(Table2[[#This Row],[on_time]]="Yes",1,0)</f>
        <v>0</v>
      </c>
    </row>
    <row r="506" spans="1:8">
      <c r="A506">
        <v>505</v>
      </c>
      <c r="B506" s="2">
        <v>45478</v>
      </c>
      <c r="C506" s="2">
        <v>45482</v>
      </c>
      <c r="D506">
        <v>4</v>
      </c>
      <c r="E506" t="s">
        <v>11</v>
      </c>
      <c r="F506" t="s">
        <v>12</v>
      </c>
      <c r="G506" t="s">
        <v>13</v>
      </c>
      <c r="H506">
        <f>IF(Table2[[#This Row],[on_time]]="Yes",1,0)</f>
        <v>0</v>
      </c>
    </row>
    <row r="507" spans="1:8">
      <c r="A507">
        <v>506</v>
      </c>
      <c r="B507" s="2">
        <v>45489</v>
      </c>
      <c r="C507" s="2">
        <v>45492</v>
      </c>
      <c r="D507">
        <v>3</v>
      </c>
      <c r="E507" t="s">
        <v>11</v>
      </c>
      <c r="F507" t="s">
        <v>9</v>
      </c>
      <c r="G507" t="s">
        <v>10</v>
      </c>
      <c r="H507">
        <f>IF(Table2[[#This Row],[on_time]]="Yes",1,0)</f>
        <v>1</v>
      </c>
    </row>
    <row r="508" spans="1:8">
      <c r="A508">
        <v>507</v>
      </c>
      <c r="B508" s="2">
        <v>45483</v>
      </c>
      <c r="C508" s="2">
        <v>45484</v>
      </c>
      <c r="D508">
        <v>1</v>
      </c>
      <c r="E508" t="s">
        <v>11</v>
      </c>
      <c r="F508" t="s">
        <v>9</v>
      </c>
      <c r="G508" t="s">
        <v>10</v>
      </c>
      <c r="H508">
        <f>IF(Table2[[#This Row],[on_time]]="Yes",1,0)</f>
        <v>1</v>
      </c>
    </row>
    <row r="509" spans="1:8">
      <c r="A509">
        <v>508</v>
      </c>
      <c r="B509" s="2">
        <v>45476</v>
      </c>
      <c r="C509" s="2">
        <v>45479</v>
      </c>
      <c r="D509">
        <v>3</v>
      </c>
      <c r="E509" t="s">
        <v>14</v>
      </c>
      <c r="F509" t="s">
        <v>9</v>
      </c>
      <c r="G509" t="s">
        <v>10</v>
      </c>
      <c r="H509">
        <f>IF(Table2[[#This Row],[on_time]]="Yes",1,0)</f>
        <v>1</v>
      </c>
    </row>
    <row r="510" spans="1:8">
      <c r="A510">
        <v>509</v>
      </c>
      <c r="B510" s="2">
        <v>45496</v>
      </c>
      <c r="C510" s="2">
        <v>45501</v>
      </c>
      <c r="D510">
        <v>5</v>
      </c>
      <c r="E510" t="s">
        <v>14</v>
      </c>
      <c r="F510" t="s">
        <v>9</v>
      </c>
      <c r="G510" t="s">
        <v>13</v>
      </c>
      <c r="H510">
        <f>IF(Table2[[#This Row],[on_time]]="Yes",1,0)</f>
        <v>0</v>
      </c>
    </row>
    <row r="511" spans="1:8">
      <c r="A511">
        <v>510</v>
      </c>
      <c r="B511" s="2">
        <v>45488</v>
      </c>
      <c r="C511" s="2">
        <v>45489</v>
      </c>
      <c r="D511">
        <v>1</v>
      </c>
      <c r="E511" t="s">
        <v>11</v>
      </c>
      <c r="F511" t="s">
        <v>15</v>
      </c>
      <c r="G511" t="s">
        <v>10</v>
      </c>
      <c r="H511">
        <f>IF(Table2[[#This Row],[on_time]]="Yes",1,0)</f>
        <v>1</v>
      </c>
    </row>
    <row r="512" spans="1:8">
      <c r="A512">
        <v>511</v>
      </c>
      <c r="B512" s="2">
        <v>45498</v>
      </c>
      <c r="C512" s="2">
        <v>45500</v>
      </c>
      <c r="D512">
        <v>2</v>
      </c>
      <c r="E512" t="s">
        <v>8</v>
      </c>
      <c r="F512" t="s">
        <v>9</v>
      </c>
      <c r="G512" t="s">
        <v>10</v>
      </c>
      <c r="H512">
        <f>IF(Table2[[#This Row],[on_time]]="Yes",1,0)</f>
        <v>1</v>
      </c>
    </row>
    <row r="513" spans="1:8">
      <c r="A513">
        <v>512</v>
      </c>
      <c r="B513" s="2">
        <v>45496</v>
      </c>
      <c r="C513" s="2">
        <v>45501</v>
      </c>
      <c r="D513">
        <v>5</v>
      </c>
      <c r="E513" t="s">
        <v>11</v>
      </c>
      <c r="F513" t="s">
        <v>12</v>
      </c>
      <c r="G513" t="s">
        <v>13</v>
      </c>
      <c r="H513">
        <f>IF(Table2[[#This Row],[on_time]]="Yes",1,0)</f>
        <v>0</v>
      </c>
    </row>
    <row r="514" spans="1:8">
      <c r="A514">
        <v>513</v>
      </c>
      <c r="B514" s="2">
        <v>45493</v>
      </c>
      <c r="C514" s="2">
        <v>45496</v>
      </c>
      <c r="D514">
        <v>3</v>
      </c>
      <c r="E514" t="s">
        <v>14</v>
      </c>
      <c r="F514" t="s">
        <v>12</v>
      </c>
      <c r="G514" t="s">
        <v>10</v>
      </c>
      <c r="H514">
        <f>IF(Table2[[#This Row],[on_time]]="Yes",1,0)</f>
        <v>1</v>
      </c>
    </row>
    <row r="515" spans="1:8">
      <c r="A515">
        <v>514</v>
      </c>
      <c r="B515" s="2">
        <v>45489</v>
      </c>
      <c r="C515" s="2">
        <v>45490</v>
      </c>
      <c r="D515">
        <v>1</v>
      </c>
      <c r="E515" t="s">
        <v>8</v>
      </c>
      <c r="F515" t="s">
        <v>12</v>
      </c>
      <c r="G515" t="s">
        <v>10</v>
      </c>
      <c r="H515">
        <f>IF(Table2[[#This Row],[on_time]]="Yes",1,0)</f>
        <v>1</v>
      </c>
    </row>
    <row r="516" spans="1:8">
      <c r="A516">
        <v>515</v>
      </c>
      <c r="B516" s="2">
        <v>45494</v>
      </c>
      <c r="C516" s="2">
        <v>45495</v>
      </c>
      <c r="D516">
        <v>1</v>
      </c>
      <c r="E516" t="s">
        <v>8</v>
      </c>
      <c r="F516" t="s">
        <v>15</v>
      </c>
      <c r="G516" t="s">
        <v>10</v>
      </c>
      <c r="H516">
        <f>IF(Table2[[#This Row],[on_time]]="Yes",1,0)</f>
        <v>1</v>
      </c>
    </row>
    <row r="517" spans="1:8">
      <c r="A517">
        <v>516</v>
      </c>
      <c r="B517" s="2">
        <v>45486</v>
      </c>
      <c r="C517" s="2">
        <v>45490</v>
      </c>
      <c r="D517">
        <v>4</v>
      </c>
      <c r="E517" t="s">
        <v>14</v>
      </c>
      <c r="F517" t="s">
        <v>12</v>
      </c>
      <c r="G517" t="s">
        <v>13</v>
      </c>
      <c r="H517">
        <f>IF(Table2[[#This Row],[on_time]]="Yes",1,0)</f>
        <v>0</v>
      </c>
    </row>
    <row r="518" spans="1:8">
      <c r="A518">
        <v>517</v>
      </c>
      <c r="B518" s="2">
        <v>45493</v>
      </c>
      <c r="C518" s="2">
        <v>45496</v>
      </c>
      <c r="D518">
        <v>3</v>
      </c>
      <c r="E518" t="s">
        <v>11</v>
      </c>
      <c r="F518" t="s">
        <v>9</v>
      </c>
      <c r="G518" t="s">
        <v>10</v>
      </c>
      <c r="H518">
        <f>IF(Table2[[#This Row],[on_time]]="Yes",1,0)</f>
        <v>1</v>
      </c>
    </row>
    <row r="519" spans="1:8">
      <c r="A519">
        <v>518</v>
      </c>
      <c r="B519" s="2">
        <v>45502</v>
      </c>
      <c r="C519" s="2">
        <v>45506</v>
      </c>
      <c r="D519">
        <v>4</v>
      </c>
      <c r="E519" t="s">
        <v>14</v>
      </c>
      <c r="F519" t="s">
        <v>9</v>
      </c>
      <c r="G519" t="s">
        <v>13</v>
      </c>
      <c r="H519">
        <f>IF(Table2[[#This Row],[on_time]]="Yes",1,0)</f>
        <v>0</v>
      </c>
    </row>
    <row r="520" spans="1:8">
      <c r="A520">
        <v>519</v>
      </c>
      <c r="B520" s="2">
        <v>45489</v>
      </c>
      <c r="C520" s="2">
        <v>45490</v>
      </c>
      <c r="D520">
        <v>1</v>
      </c>
      <c r="E520" t="s">
        <v>14</v>
      </c>
      <c r="F520" t="s">
        <v>15</v>
      </c>
      <c r="G520" t="s">
        <v>10</v>
      </c>
      <c r="H520">
        <f>IF(Table2[[#This Row],[on_time]]="Yes",1,0)</f>
        <v>1</v>
      </c>
    </row>
    <row r="521" spans="1:8">
      <c r="A521">
        <v>520</v>
      </c>
      <c r="B521" s="2">
        <v>45490</v>
      </c>
      <c r="C521" s="2">
        <v>45493</v>
      </c>
      <c r="D521">
        <v>3</v>
      </c>
      <c r="E521" t="s">
        <v>11</v>
      </c>
      <c r="F521" t="s">
        <v>12</v>
      </c>
      <c r="G521" t="s">
        <v>10</v>
      </c>
      <c r="H521">
        <f>IF(Table2[[#This Row],[on_time]]="Yes",1,0)</f>
        <v>1</v>
      </c>
    </row>
    <row r="522" spans="1:8">
      <c r="A522">
        <v>521</v>
      </c>
      <c r="B522" s="2">
        <v>45488</v>
      </c>
      <c r="C522" s="2">
        <v>45492</v>
      </c>
      <c r="D522">
        <v>4</v>
      </c>
      <c r="E522" t="s">
        <v>14</v>
      </c>
      <c r="F522" t="s">
        <v>12</v>
      </c>
      <c r="G522" t="s">
        <v>13</v>
      </c>
      <c r="H522">
        <f>IF(Table2[[#This Row],[on_time]]="Yes",1,0)</f>
        <v>0</v>
      </c>
    </row>
    <row r="523" spans="1:8">
      <c r="A523">
        <v>522</v>
      </c>
      <c r="B523" s="2">
        <v>45500</v>
      </c>
      <c r="C523" s="2">
        <v>45502</v>
      </c>
      <c r="D523">
        <v>2</v>
      </c>
      <c r="E523" t="s">
        <v>14</v>
      </c>
      <c r="F523" t="s">
        <v>12</v>
      </c>
      <c r="G523" t="s">
        <v>10</v>
      </c>
      <c r="H523">
        <f>IF(Table2[[#This Row],[on_time]]="Yes",1,0)</f>
        <v>1</v>
      </c>
    </row>
    <row r="524" spans="1:8">
      <c r="A524">
        <v>523</v>
      </c>
      <c r="B524" s="2">
        <v>45477</v>
      </c>
      <c r="C524" s="2">
        <v>45480</v>
      </c>
      <c r="D524">
        <v>3</v>
      </c>
      <c r="E524" t="s">
        <v>8</v>
      </c>
      <c r="F524" t="s">
        <v>9</v>
      </c>
      <c r="G524" t="s">
        <v>10</v>
      </c>
      <c r="H524">
        <f>IF(Table2[[#This Row],[on_time]]="Yes",1,0)</f>
        <v>1</v>
      </c>
    </row>
    <row r="525" spans="1:8">
      <c r="A525">
        <v>524</v>
      </c>
      <c r="B525" s="2">
        <v>45492</v>
      </c>
      <c r="C525" s="2">
        <v>45494</v>
      </c>
      <c r="D525">
        <v>2</v>
      </c>
      <c r="E525" t="s">
        <v>8</v>
      </c>
      <c r="F525" t="s">
        <v>15</v>
      </c>
      <c r="G525" t="s">
        <v>10</v>
      </c>
      <c r="H525">
        <f>IF(Table2[[#This Row],[on_time]]="Yes",1,0)</f>
        <v>1</v>
      </c>
    </row>
    <row r="526" spans="1:8">
      <c r="A526">
        <v>525</v>
      </c>
      <c r="B526" s="2">
        <v>45474</v>
      </c>
      <c r="C526" s="2">
        <v>45479</v>
      </c>
      <c r="D526">
        <v>5</v>
      </c>
      <c r="E526" t="s">
        <v>8</v>
      </c>
      <c r="F526" t="s">
        <v>9</v>
      </c>
      <c r="G526" t="s">
        <v>13</v>
      </c>
      <c r="H526">
        <f>IF(Table2[[#This Row],[on_time]]="Yes",1,0)</f>
        <v>0</v>
      </c>
    </row>
    <row r="527" spans="1:8">
      <c r="A527">
        <v>526</v>
      </c>
      <c r="B527" s="2">
        <v>45489</v>
      </c>
      <c r="C527" s="2">
        <v>45492</v>
      </c>
      <c r="D527">
        <v>3</v>
      </c>
      <c r="E527" t="s">
        <v>8</v>
      </c>
      <c r="F527" t="s">
        <v>9</v>
      </c>
      <c r="G527" t="s">
        <v>10</v>
      </c>
      <c r="H527">
        <f>IF(Table2[[#This Row],[on_time]]="Yes",1,0)</f>
        <v>1</v>
      </c>
    </row>
    <row r="528" spans="1:8">
      <c r="A528">
        <v>527</v>
      </c>
      <c r="B528" s="2">
        <v>45493</v>
      </c>
      <c r="C528" s="2">
        <v>45497</v>
      </c>
      <c r="D528">
        <v>4</v>
      </c>
      <c r="E528" t="s">
        <v>11</v>
      </c>
      <c r="F528" t="s">
        <v>12</v>
      </c>
      <c r="G528" t="s">
        <v>13</v>
      </c>
      <c r="H528">
        <f>IF(Table2[[#This Row],[on_time]]="Yes",1,0)</f>
        <v>0</v>
      </c>
    </row>
    <row r="529" spans="1:8">
      <c r="A529">
        <v>528</v>
      </c>
      <c r="B529" s="2">
        <v>45478</v>
      </c>
      <c r="C529" s="2">
        <v>45479</v>
      </c>
      <c r="D529">
        <v>1</v>
      </c>
      <c r="E529" t="s">
        <v>14</v>
      </c>
      <c r="F529" t="s">
        <v>12</v>
      </c>
      <c r="G529" t="s">
        <v>10</v>
      </c>
      <c r="H529">
        <f>IF(Table2[[#This Row],[on_time]]="Yes",1,0)</f>
        <v>1</v>
      </c>
    </row>
    <row r="530" spans="1:8">
      <c r="A530">
        <v>529</v>
      </c>
      <c r="B530" s="2">
        <v>45482</v>
      </c>
      <c r="C530" s="2">
        <v>45485</v>
      </c>
      <c r="D530">
        <v>3</v>
      </c>
      <c r="E530" t="s">
        <v>11</v>
      </c>
      <c r="F530" t="s">
        <v>15</v>
      </c>
      <c r="G530" t="s">
        <v>10</v>
      </c>
      <c r="H530">
        <f>IF(Table2[[#This Row],[on_time]]="Yes",1,0)</f>
        <v>1</v>
      </c>
    </row>
    <row r="531" spans="1:8">
      <c r="A531">
        <v>530</v>
      </c>
      <c r="B531" s="2">
        <v>45500</v>
      </c>
      <c r="C531" s="2">
        <v>45503</v>
      </c>
      <c r="D531">
        <v>3</v>
      </c>
      <c r="E531" t="s">
        <v>11</v>
      </c>
      <c r="F531" t="s">
        <v>15</v>
      </c>
      <c r="G531" t="s">
        <v>10</v>
      </c>
      <c r="H531">
        <f>IF(Table2[[#This Row],[on_time]]="Yes",1,0)</f>
        <v>1</v>
      </c>
    </row>
    <row r="532" spans="1:8">
      <c r="A532">
        <v>531</v>
      </c>
      <c r="B532" s="2">
        <v>45476</v>
      </c>
      <c r="C532" s="2">
        <v>45480</v>
      </c>
      <c r="D532">
        <v>4</v>
      </c>
      <c r="E532" t="s">
        <v>8</v>
      </c>
      <c r="F532" t="s">
        <v>9</v>
      </c>
      <c r="G532" t="s">
        <v>13</v>
      </c>
      <c r="H532">
        <f>IF(Table2[[#This Row],[on_time]]="Yes",1,0)</f>
        <v>0</v>
      </c>
    </row>
    <row r="533" spans="1:8">
      <c r="A533">
        <v>532</v>
      </c>
      <c r="B533" s="2">
        <v>45495</v>
      </c>
      <c r="C533" s="2">
        <v>45499</v>
      </c>
      <c r="D533">
        <v>4</v>
      </c>
      <c r="E533" t="s">
        <v>8</v>
      </c>
      <c r="F533" t="s">
        <v>9</v>
      </c>
      <c r="G533" t="s">
        <v>13</v>
      </c>
      <c r="H533">
        <f>IF(Table2[[#This Row],[on_time]]="Yes",1,0)</f>
        <v>0</v>
      </c>
    </row>
    <row r="534" spans="1:8">
      <c r="A534">
        <v>533</v>
      </c>
      <c r="B534" s="2">
        <v>45493</v>
      </c>
      <c r="C534" s="2">
        <v>45497</v>
      </c>
      <c r="D534">
        <v>4</v>
      </c>
      <c r="E534" t="s">
        <v>11</v>
      </c>
      <c r="F534" t="s">
        <v>15</v>
      </c>
      <c r="G534" t="s">
        <v>13</v>
      </c>
      <c r="H534">
        <f>IF(Table2[[#This Row],[on_time]]="Yes",1,0)</f>
        <v>0</v>
      </c>
    </row>
    <row r="535" spans="1:8">
      <c r="A535">
        <v>534</v>
      </c>
      <c r="B535" s="2">
        <v>45497</v>
      </c>
      <c r="C535" s="2">
        <v>45499</v>
      </c>
      <c r="D535">
        <v>2</v>
      </c>
      <c r="E535" t="s">
        <v>11</v>
      </c>
      <c r="F535" t="s">
        <v>12</v>
      </c>
      <c r="G535" t="s">
        <v>10</v>
      </c>
      <c r="H535">
        <f>IF(Table2[[#This Row],[on_time]]="Yes",1,0)</f>
        <v>1</v>
      </c>
    </row>
    <row r="536" spans="1:8">
      <c r="A536">
        <v>535</v>
      </c>
      <c r="B536" s="2">
        <v>45476</v>
      </c>
      <c r="C536" s="2">
        <v>45481</v>
      </c>
      <c r="D536">
        <v>5</v>
      </c>
      <c r="E536" t="s">
        <v>14</v>
      </c>
      <c r="F536" t="s">
        <v>9</v>
      </c>
      <c r="G536" t="s">
        <v>13</v>
      </c>
      <c r="H536">
        <f>IF(Table2[[#This Row],[on_time]]="Yes",1,0)</f>
        <v>0</v>
      </c>
    </row>
    <row r="537" spans="1:8">
      <c r="A537">
        <v>536</v>
      </c>
      <c r="B537" s="2">
        <v>45475</v>
      </c>
      <c r="C537" s="2">
        <v>45478</v>
      </c>
      <c r="D537">
        <v>3</v>
      </c>
      <c r="E537" t="s">
        <v>8</v>
      </c>
      <c r="F537" t="s">
        <v>15</v>
      </c>
      <c r="G537" t="s">
        <v>10</v>
      </c>
      <c r="H537">
        <f>IF(Table2[[#This Row],[on_time]]="Yes",1,0)</f>
        <v>1</v>
      </c>
    </row>
    <row r="538" spans="1:8">
      <c r="A538">
        <v>537</v>
      </c>
      <c r="B538" s="2">
        <v>45494</v>
      </c>
      <c r="C538" s="2">
        <v>45497</v>
      </c>
      <c r="D538">
        <v>3</v>
      </c>
      <c r="E538" t="s">
        <v>11</v>
      </c>
      <c r="F538" t="s">
        <v>15</v>
      </c>
      <c r="G538" t="s">
        <v>10</v>
      </c>
      <c r="H538">
        <f>IF(Table2[[#This Row],[on_time]]="Yes",1,0)</f>
        <v>1</v>
      </c>
    </row>
    <row r="539" spans="1:8">
      <c r="A539">
        <v>538</v>
      </c>
      <c r="B539" s="2">
        <v>45478</v>
      </c>
      <c r="C539" s="2">
        <v>45482</v>
      </c>
      <c r="D539">
        <v>4</v>
      </c>
      <c r="E539" t="s">
        <v>14</v>
      </c>
      <c r="F539" t="s">
        <v>12</v>
      </c>
      <c r="G539" t="s">
        <v>13</v>
      </c>
      <c r="H539">
        <f>IF(Table2[[#This Row],[on_time]]="Yes",1,0)</f>
        <v>0</v>
      </c>
    </row>
    <row r="540" spans="1:8">
      <c r="A540">
        <v>539</v>
      </c>
      <c r="B540" s="2">
        <v>45478</v>
      </c>
      <c r="C540" s="2">
        <v>45482</v>
      </c>
      <c r="D540">
        <v>4</v>
      </c>
      <c r="E540" t="s">
        <v>8</v>
      </c>
      <c r="F540" t="s">
        <v>9</v>
      </c>
      <c r="G540" t="s">
        <v>13</v>
      </c>
      <c r="H540">
        <f>IF(Table2[[#This Row],[on_time]]="Yes",1,0)</f>
        <v>0</v>
      </c>
    </row>
    <row r="541" spans="1:8">
      <c r="A541">
        <v>540</v>
      </c>
      <c r="B541" s="2">
        <v>45489</v>
      </c>
      <c r="C541" s="2">
        <v>45492</v>
      </c>
      <c r="D541">
        <v>3</v>
      </c>
      <c r="E541" t="s">
        <v>11</v>
      </c>
      <c r="F541" t="s">
        <v>12</v>
      </c>
      <c r="G541" t="s">
        <v>10</v>
      </c>
      <c r="H541">
        <f>IF(Table2[[#This Row],[on_time]]="Yes",1,0)</f>
        <v>1</v>
      </c>
    </row>
    <row r="542" spans="1:8">
      <c r="A542">
        <v>541</v>
      </c>
      <c r="B542" s="2">
        <v>45475</v>
      </c>
      <c r="C542" s="2">
        <v>45476</v>
      </c>
      <c r="D542">
        <v>1</v>
      </c>
      <c r="E542" t="s">
        <v>11</v>
      </c>
      <c r="F542" t="s">
        <v>15</v>
      </c>
      <c r="G542" t="s">
        <v>10</v>
      </c>
      <c r="H542">
        <f>IF(Table2[[#This Row],[on_time]]="Yes",1,0)</f>
        <v>1</v>
      </c>
    </row>
    <row r="543" spans="1:8">
      <c r="A543">
        <v>542</v>
      </c>
      <c r="B543" s="2">
        <v>45499</v>
      </c>
      <c r="C543" s="2">
        <v>45501</v>
      </c>
      <c r="D543">
        <v>2</v>
      </c>
      <c r="E543" t="s">
        <v>11</v>
      </c>
      <c r="F543" t="s">
        <v>15</v>
      </c>
      <c r="G543" t="s">
        <v>10</v>
      </c>
      <c r="H543">
        <f>IF(Table2[[#This Row],[on_time]]="Yes",1,0)</f>
        <v>1</v>
      </c>
    </row>
    <row r="544" spans="1:8">
      <c r="A544">
        <v>543</v>
      </c>
      <c r="B544" s="2">
        <v>45491</v>
      </c>
      <c r="C544" s="2">
        <v>45492</v>
      </c>
      <c r="D544">
        <v>1</v>
      </c>
      <c r="E544" t="s">
        <v>8</v>
      </c>
      <c r="F544" t="s">
        <v>9</v>
      </c>
      <c r="G544" t="s">
        <v>10</v>
      </c>
      <c r="H544">
        <f>IF(Table2[[#This Row],[on_time]]="Yes",1,0)</f>
        <v>1</v>
      </c>
    </row>
    <row r="545" spans="1:8">
      <c r="A545">
        <v>544</v>
      </c>
      <c r="B545" s="2">
        <v>45477</v>
      </c>
      <c r="C545" s="2">
        <v>45478</v>
      </c>
      <c r="D545">
        <v>1</v>
      </c>
      <c r="E545" t="s">
        <v>14</v>
      </c>
      <c r="F545" t="s">
        <v>12</v>
      </c>
      <c r="G545" t="s">
        <v>10</v>
      </c>
      <c r="H545">
        <f>IF(Table2[[#This Row],[on_time]]="Yes",1,0)</f>
        <v>1</v>
      </c>
    </row>
    <row r="546" spans="1:8">
      <c r="A546">
        <v>545</v>
      </c>
      <c r="B546" s="2">
        <v>45498</v>
      </c>
      <c r="C546" s="2">
        <v>45501</v>
      </c>
      <c r="D546">
        <v>3</v>
      </c>
      <c r="E546" t="s">
        <v>8</v>
      </c>
      <c r="F546" t="s">
        <v>12</v>
      </c>
      <c r="G546" t="s">
        <v>10</v>
      </c>
      <c r="H546">
        <f>IF(Table2[[#This Row],[on_time]]="Yes",1,0)</f>
        <v>1</v>
      </c>
    </row>
    <row r="547" spans="1:8">
      <c r="A547">
        <v>546</v>
      </c>
      <c r="B547" s="2">
        <v>45504</v>
      </c>
      <c r="C547" s="2">
        <v>45507</v>
      </c>
      <c r="D547">
        <v>3</v>
      </c>
      <c r="E547" t="s">
        <v>8</v>
      </c>
      <c r="F547" t="s">
        <v>9</v>
      </c>
      <c r="G547" t="s">
        <v>10</v>
      </c>
      <c r="H547">
        <f>IF(Table2[[#This Row],[on_time]]="Yes",1,0)</f>
        <v>1</v>
      </c>
    </row>
    <row r="548" spans="1:8">
      <c r="A548">
        <v>547</v>
      </c>
      <c r="B548" s="2">
        <v>45502</v>
      </c>
      <c r="C548" s="2">
        <v>45503</v>
      </c>
      <c r="D548">
        <v>1</v>
      </c>
      <c r="E548" t="s">
        <v>14</v>
      </c>
      <c r="F548" t="s">
        <v>12</v>
      </c>
      <c r="G548" t="s">
        <v>10</v>
      </c>
      <c r="H548">
        <f>IF(Table2[[#This Row],[on_time]]="Yes",1,0)</f>
        <v>1</v>
      </c>
    </row>
    <row r="549" spans="1:8">
      <c r="A549">
        <v>548</v>
      </c>
      <c r="B549" s="2">
        <v>45504</v>
      </c>
      <c r="C549" s="2">
        <v>45506</v>
      </c>
      <c r="D549">
        <v>2</v>
      </c>
      <c r="E549" t="s">
        <v>11</v>
      </c>
      <c r="F549" t="s">
        <v>15</v>
      </c>
      <c r="G549" t="s">
        <v>10</v>
      </c>
      <c r="H549">
        <f>IF(Table2[[#This Row],[on_time]]="Yes",1,0)</f>
        <v>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20AE99-8235-40FB-AC22-FF258932E9FD}">
  <dimension ref="A1:D5"/>
  <sheetViews>
    <sheetView workbookViewId="0">
      <selection activeCell="G3" sqref="G3"/>
    </sheetView>
  </sheetViews>
  <sheetFormatPr defaultRowHeight="15"/>
  <cols>
    <col min="1" max="1" width="11.42578125" bestFit="1" customWidth="1"/>
    <col min="2" max="2" width="17.140625" customWidth="1"/>
    <col min="3" max="3" width="18.42578125" customWidth="1"/>
    <col min="4" max="4" width="17.5703125" bestFit="1" customWidth="1"/>
  </cols>
  <sheetData>
    <row r="1" spans="1:4">
      <c r="A1" t="s">
        <v>16</v>
      </c>
      <c r="B1" t="s">
        <v>17</v>
      </c>
      <c r="C1" t="s">
        <v>18</v>
      </c>
      <c r="D1" t="s">
        <v>19</v>
      </c>
    </row>
    <row r="2" spans="1:4" ht="45.75">
      <c r="A2" t="s">
        <v>20</v>
      </c>
      <c r="B2" s="3" t="s">
        <v>21</v>
      </c>
      <c r="C2" s="3" t="s">
        <v>22</v>
      </c>
      <c r="D2" t="s">
        <v>23</v>
      </c>
    </row>
    <row r="3" spans="1:4" ht="45.75">
      <c r="A3" t="s">
        <v>20</v>
      </c>
      <c r="B3" s="3" t="s">
        <v>24</v>
      </c>
      <c r="C3" s="3" t="s">
        <v>25</v>
      </c>
      <c r="D3" s="3" t="s">
        <v>26</v>
      </c>
    </row>
    <row r="4" spans="1:4" ht="30.75">
      <c r="A4" t="s">
        <v>20</v>
      </c>
      <c r="B4" s="3" t="s">
        <v>27</v>
      </c>
      <c r="C4" t="s">
        <v>28</v>
      </c>
      <c r="D4" t="s">
        <v>29</v>
      </c>
    </row>
    <row r="5" spans="1:4" ht="30.75">
      <c r="A5" t="s">
        <v>20</v>
      </c>
      <c r="B5" s="3" t="s">
        <v>30</v>
      </c>
      <c r="C5" s="3" t="s">
        <v>31</v>
      </c>
      <c r="D5" s="3" t="s">
        <v>32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5054E1-EEA5-4B6C-A295-199E1615D8E3}">
  <dimension ref="A1:E2"/>
  <sheetViews>
    <sheetView workbookViewId="0">
      <selection activeCell="E2" sqref="E2"/>
    </sheetView>
  </sheetViews>
  <sheetFormatPr defaultRowHeight="15"/>
  <cols>
    <col min="1" max="1" width="12" bestFit="1" customWidth="1"/>
    <col min="3" max="3" width="17" bestFit="1" customWidth="1"/>
    <col min="5" max="5" width="20.7109375" bestFit="1" customWidth="1"/>
  </cols>
  <sheetData>
    <row r="1" spans="1:5">
      <c r="A1" s="8" t="s">
        <v>33</v>
      </c>
      <c r="C1" s="8" t="s">
        <v>34</v>
      </c>
      <c r="E1" s="8" t="s">
        <v>35</v>
      </c>
    </row>
    <row r="2" spans="1:5">
      <c r="A2" s="11">
        <f>COUNTA(Table2[order_id])</f>
        <v>548</v>
      </c>
      <c r="C2" s="9">
        <f>AVERAGE(Table2[on_time_flag])</f>
        <v>0.61131386861313863</v>
      </c>
      <c r="E2" s="10">
        <f>AVERAGE(Cleaned_Data!D:D)</f>
        <v>2.9507299270072993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7C9A0C-C40F-4A11-9253-DAFC2D51DF06}">
  <dimension ref="A2:G6"/>
  <sheetViews>
    <sheetView workbookViewId="0">
      <selection activeCell="E7" sqref="E7"/>
    </sheetView>
  </sheetViews>
  <sheetFormatPr defaultRowHeight="15"/>
  <cols>
    <col min="1" max="1" width="11.7109375" bestFit="1" customWidth="1"/>
    <col min="2" max="2" width="23.42578125" style="5" bestFit="1" customWidth="1"/>
    <col min="6" max="6" width="11.7109375" bestFit="1" customWidth="1"/>
    <col min="7" max="7" width="30.42578125" style="6" bestFit="1" customWidth="1"/>
  </cols>
  <sheetData>
    <row r="2" spans="1:7">
      <c r="A2" s="4" t="s">
        <v>5</v>
      </c>
      <c r="B2" s="5" t="s">
        <v>36</v>
      </c>
      <c r="G2"/>
    </row>
    <row r="3" spans="1:7">
      <c r="A3" t="s">
        <v>15</v>
      </c>
      <c r="B3" s="5">
        <v>0.62804878048780488</v>
      </c>
      <c r="G3"/>
    </row>
    <row r="4" spans="1:7">
      <c r="A4" t="s">
        <v>12</v>
      </c>
      <c r="B4" s="5">
        <v>0.62765957446808507</v>
      </c>
      <c r="G4"/>
    </row>
    <row r="5" spans="1:7">
      <c r="A5" t="s">
        <v>9</v>
      </c>
      <c r="B5" s="5">
        <v>0.58163265306122447</v>
      </c>
      <c r="G5"/>
    </row>
    <row r="6" spans="1:7">
      <c r="A6" t="s">
        <v>37</v>
      </c>
      <c r="B6" s="5">
        <v>0.61131386861313863</v>
      </c>
      <c r="G6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EDBAF5-D20C-4448-ADFC-7043154FA970}">
  <dimension ref="A2:B6"/>
  <sheetViews>
    <sheetView workbookViewId="0">
      <selection activeCell="B5" sqref="B5"/>
    </sheetView>
  </sheetViews>
  <sheetFormatPr defaultRowHeight="15"/>
  <cols>
    <col min="1" max="1" width="11.7109375" bestFit="1" customWidth="1"/>
    <col min="2" max="2" width="30.42578125" style="6" bestFit="1" customWidth="1"/>
  </cols>
  <sheetData>
    <row r="2" spans="1:2">
      <c r="A2" s="4" t="s">
        <v>5</v>
      </c>
      <c r="B2" s="6" t="s">
        <v>38</v>
      </c>
    </row>
    <row r="3" spans="1:2">
      <c r="A3" t="s">
        <v>9</v>
      </c>
      <c r="B3" s="6">
        <v>3.0357142857142856</v>
      </c>
    </row>
    <row r="4" spans="1:2">
      <c r="A4" t="s">
        <v>15</v>
      </c>
      <c r="B4" s="6">
        <v>2.9085365853658538</v>
      </c>
    </row>
    <row r="5" spans="1:2">
      <c r="A5" t="s">
        <v>12</v>
      </c>
      <c r="B5" s="6">
        <v>2.8989361702127661</v>
      </c>
    </row>
    <row r="6" spans="1:2">
      <c r="A6" t="s">
        <v>37</v>
      </c>
      <c r="B6" s="6">
        <v>2.9507299270072993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185248-D83F-48B5-8E65-3AA2BCD414D7}">
  <dimension ref="A2:G16"/>
  <sheetViews>
    <sheetView topLeftCell="A197" workbookViewId="0">
      <selection activeCell="D38" sqref="D38"/>
    </sheetView>
  </sheetViews>
  <sheetFormatPr defaultRowHeight="15"/>
  <cols>
    <col min="1" max="1" width="14.7109375" bestFit="1" customWidth="1"/>
    <col min="2" max="2" width="17" style="5" bestFit="1" customWidth="1"/>
    <col min="3" max="3" width="23.42578125" style="6" bestFit="1" customWidth="1"/>
    <col min="4" max="4" width="30.42578125" bestFit="1" customWidth="1"/>
    <col min="5" max="6" width="2.28515625" bestFit="1" customWidth="1"/>
    <col min="7" max="7" width="11.7109375" bestFit="1" customWidth="1"/>
  </cols>
  <sheetData>
    <row r="2" spans="1:7">
      <c r="A2" s="4" t="s">
        <v>4</v>
      </c>
      <c r="B2" t="s">
        <v>39</v>
      </c>
      <c r="C2" s="5" t="s">
        <v>36</v>
      </c>
      <c r="D2" s="6" t="s">
        <v>38</v>
      </c>
    </row>
    <row r="3" spans="1:7">
      <c r="A3" t="s">
        <v>8</v>
      </c>
      <c r="B3" s="28">
        <v>169</v>
      </c>
      <c r="C3" s="5">
        <v>0.67455621301775148</v>
      </c>
      <c r="D3" s="6">
        <v>2.7869822485207099</v>
      </c>
    </row>
    <row r="4" spans="1:7">
      <c r="A4" t="s">
        <v>14</v>
      </c>
      <c r="B4" s="28">
        <v>178</v>
      </c>
      <c r="C4" s="5">
        <v>0.5898876404494382</v>
      </c>
      <c r="D4" s="6">
        <v>3.0617977528089888</v>
      </c>
    </row>
    <row r="5" spans="1:7">
      <c r="A5" t="s">
        <v>11</v>
      </c>
      <c r="B5" s="28">
        <v>201</v>
      </c>
      <c r="C5" s="5">
        <v>0.57711442786069655</v>
      </c>
      <c r="D5" s="6">
        <v>2.9900497512437809</v>
      </c>
    </row>
    <row r="6" spans="1:7">
      <c r="A6" t="s">
        <v>37</v>
      </c>
      <c r="B6" s="28">
        <v>548</v>
      </c>
      <c r="C6" s="5">
        <v>0.61131386861313863</v>
      </c>
      <c r="D6" s="6">
        <v>2.9507299270072993</v>
      </c>
    </row>
    <row r="9" spans="1:7">
      <c r="B9"/>
      <c r="C9"/>
    </row>
    <row r="10" spans="1:7">
      <c r="B10"/>
      <c r="C10"/>
    </row>
    <row r="11" spans="1:7">
      <c r="B11"/>
      <c r="C11"/>
    </row>
    <row r="12" spans="1:7">
      <c r="B12"/>
      <c r="C12"/>
    </row>
    <row r="13" spans="1:7">
      <c r="B13"/>
      <c r="C13"/>
    </row>
    <row r="16" spans="1:7">
      <c r="G16" t="s">
        <v>40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25A37-DF1D-41BC-AD13-8629781A5A51}">
  <dimension ref="A1:E8"/>
  <sheetViews>
    <sheetView topLeftCell="D1" workbookViewId="0">
      <selection activeCell="B13" sqref="B13"/>
    </sheetView>
  </sheetViews>
  <sheetFormatPr defaultRowHeight="15"/>
  <cols>
    <col min="1" max="1" width="23.42578125" bestFit="1" customWidth="1"/>
    <col min="2" max="2" width="10.140625" bestFit="1" customWidth="1"/>
    <col min="3" max="4" width="6.5703125" bestFit="1" customWidth="1"/>
    <col min="5" max="5" width="11.7109375" bestFit="1" customWidth="1"/>
  </cols>
  <sheetData>
    <row r="1" spans="1:5">
      <c r="A1" s="5"/>
      <c r="B1" s="5"/>
      <c r="C1" s="5"/>
      <c r="D1" s="5"/>
      <c r="E1" s="5"/>
    </row>
    <row r="2" spans="1:5">
      <c r="A2" s="7" t="s">
        <v>36</v>
      </c>
      <c r="B2" s="7" t="s">
        <v>5</v>
      </c>
      <c r="C2" s="5"/>
      <c r="D2" s="5"/>
      <c r="E2" s="5"/>
    </row>
    <row r="3" spans="1:5">
      <c r="A3" s="7" t="s">
        <v>4</v>
      </c>
      <c r="B3" s="5" t="s">
        <v>15</v>
      </c>
      <c r="C3" s="5" t="s">
        <v>9</v>
      </c>
      <c r="D3" s="5" t="s">
        <v>12</v>
      </c>
      <c r="E3" s="5" t="s">
        <v>37</v>
      </c>
    </row>
    <row r="4" spans="1:5">
      <c r="A4" s="5" t="s">
        <v>8</v>
      </c>
      <c r="B4" s="5">
        <v>0.73469387755102045</v>
      </c>
      <c r="C4" s="5">
        <v>0.58461538461538465</v>
      </c>
      <c r="D4" s="5">
        <v>0.72727272727272729</v>
      </c>
      <c r="E4" s="5">
        <v>0.67455621301775148</v>
      </c>
    </row>
    <row r="5" spans="1:5">
      <c r="A5" s="5" t="s">
        <v>14</v>
      </c>
      <c r="B5" s="5">
        <v>0.57692307692307687</v>
      </c>
      <c r="C5" s="5">
        <v>0.55932203389830504</v>
      </c>
      <c r="D5" s="5">
        <v>0.62686567164179108</v>
      </c>
      <c r="E5" s="5">
        <v>0.5898876404494382</v>
      </c>
    </row>
    <row r="6" spans="1:5">
      <c r="A6" s="5" t="s">
        <v>11</v>
      </c>
      <c r="B6" s="5">
        <v>0.58730158730158732</v>
      </c>
      <c r="C6" s="5">
        <v>0.59722222222222221</v>
      </c>
      <c r="D6" s="5">
        <v>0.54545454545454541</v>
      </c>
      <c r="E6" s="5">
        <v>0.57711442786069655</v>
      </c>
    </row>
    <row r="7" spans="1:5">
      <c r="A7" s="5" t="s">
        <v>37</v>
      </c>
      <c r="B7" s="5">
        <v>0.62804878048780488</v>
      </c>
      <c r="C7" s="5">
        <v>0.58163265306122447</v>
      </c>
      <c r="D7" s="5">
        <v>0.62765957446808507</v>
      </c>
      <c r="E7" s="5">
        <v>0.61131386861313863</v>
      </c>
    </row>
    <row r="8" spans="1:5">
      <c r="A8" s="6"/>
      <c r="B8" s="6"/>
      <c r="C8" s="6"/>
      <c r="D8" s="6"/>
      <c r="E8" s="6"/>
    </row>
  </sheetData>
  <conditionalFormatting pivot="1" sqref="B4:E6">
    <cfRule type="cellIs" dxfId="5" priority="3" operator="lessThan">
      <formula>0.95</formula>
    </cfRule>
  </conditionalFormatting>
  <conditionalFormatting pivot="1" sqref="B4:E6">
    <cfRule type="cellIs" dxfId="4" priority="2" operator="equal">
      <formula>0.95</formula>
    </cfRule>
  </conditionalFormatting>
  <conditionalFormatting pivot="1" sqref="B4:E6">
    <cfRule type="cellIs" dxfId="3" priority="1" operator="greaterThan">
      <formula>0.95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52F60B-06DB-4945-A364-D7915A9CCD6B}">
  <dimension ref="A1:R226"/>
  <sheetViews>
    <sheetView showGridLines="0" topLeftCell="A6" workbookViewId="0">
      <selection activeCell="S15" sqref="S15"/>
    </sheetView>
  </sheetViews>
  <sheetFormatPr defaultRowHeight="15"/>
  <cols>
    <col min="1" max="1" width="10.5703125" style="13" customWidth="1"/>
    <col min="2" max="2" width="23.42578125" customWidth="1"/>
    <col min="3" max="3" width="10.140625" customWidth="1"/>
    <col min="4" max="4" width="11.7109375" customWidth="1"/>
    <col min="5" max="5" width="6.5703125" customWidth="1"/>
    <col min="6" max="8" width="11.7109375" customWidth="1"/>
    <col min="9" max="9" width="15.28515625" customWidth="1"/>
    <col min="10" max="10" width="11.7109375" customWidth="1"/>
    <col min="11" max="11" width="17.28515625" customWidth="1"/>
    <col min="12" max="12" width="11.7109375" customWidth="1"/>
  </cols>
  <sheetData>
    <row r="1" spans="1:18" ht="21">
      <c r="A1" s="27"/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3"/>
      <c r="N1" s="13"/>
      <c r="O1" s="13"/>
      <c r="P1" s="13"/>
      <c r="Q1" s="13"/>
      <c r="R1" s="13"/>
    </row>
    <row r="2" spans="1:18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3"/>
      <c r="N2" s="13"/>
      <c r="O2" s="13"/>
      <c r="P2" s="13"/>
      <c r="Q2" s="13"/>
      <c r="R2" s="13"/>
    </row>
    <row r="3" spans="1:18">
      <c r="B3" s="13"/>
      <c r="C3" s="13"/>
      <c r="D3" s="13"/>
      <c r="E3" s="15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</row>
    <row r="4" spans="1:18" ht="15" customHeight="1">
      <c r="B4" s="13"/>
      <c r="C4" s="13"/>
      <c r="D4" s="13"/>
      <c r="E4" s="13"/>
      <c r="F4" s="16" t="s">
        <v>33</v>
      </c>
      <c r="G4" s="17"/>
      <c r="H4" s="29" t="s">
        <v>34</v>
      </c>
      <c r="I4" s="30"/>
      <c r="J4" s="31" t="s">
        <v>35</v>
      </c>
      <c r="K4" s="32"/>
      <c r="L4" s="13"/>
      <c r="M4" s="13"/>
      <c r="N4" s="13"/>
      <c r="O4" s="13"/>
      <c r="P4" s="13"/>
      <c r="Q4" s="13"/>
      <c r="R4" s="13"/>
    </row>
    <row r="5" spans="1:18" ht="15" customHeight="1">
      <c r="B5" s="13"/>
      <c r="C5" s="13"/>
      <c r="D5" s="18"/>
      <c r="E5" s="13"/>
      <c r="F5" s="19"/>
      <c r="G5" s="20"/>
      <c r="H5" s="33"/>
      <c r="I5" s="34"/>
      <c r="J5" s="35"/>
      <c r="K5" s="36"/>
      <c r="L5" s="13"/>
      <c r="M5" s="13"/>
      <c r="N5" s="13"/>
      <c r="O5" s="13"/>
      <c r="P5" s="13"/>
      <c r="Q5" s="13"/>
      <c r="R5" s="13"/>
    </row>
    <row r="6" spans="1:18" ht="26.25">
      <c r="B6" s="13"/>
      <c r="C6" s="13"/>
      <c r="D6" s="13"/>
      <c r="E6" s="13"/>
      <c r="F6" s="21">
        <f>KPIs!$A$2</f>
        <v>548</v>
      </c>
      <c r="G6" s="22"/>
      <c r="H6" s="23">
        <f>KPIs!$C$2</f>
        <v>0.61131386861313863</v>
      </c>
      <c r="I6" s="24"/>
      <c r="J6" s="25">
        <f>KPIs!$E$2</f>
        <v>2.9507299270072993</v>
      </c>
      <c r="K6" s="26"/>
      <c r="L6" s="13"/>
      <c r="M6" s="13"/>
      <c r="N6" s="13"/>
      <c r="O6" s="13"/>
      <c r="P6" s="13"/>
      <c r="Q6" s="13"/>
      <c r="R6" s="13"/>
    </row>
    <row r="7" spans="1:18"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</row>
    <row r="8" spans="1:18"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</row>
    <row r="9" spans="1:18"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</row>
    <row r="10" spans="1:18"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</row>
    <row r="11" spans="1:18"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</row>
    <row r="12" spans="1:18"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</row>
    <row r="13" spans="1:18"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</row>
    <row r="14" spans="1:18"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</row>
    <row r="15" spans="1:18"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</row>
    <row r="16" spans="1:18"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</row>
    <row r="17" spans="2:18"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</row>
    <row r="18" spans="2:18"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</row>
    <row r="19" spans="2:18"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</row>
    <row r="20" spans="2:18"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</row>
    <row r="21" spans="2:18"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</row>
    <row r="22" spans="2:18"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</row>
    <row r="23" spans="2:18"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</row>
    <row r="24" spans="2:18"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</row>
    <row r="25" spans="2:18"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</row>
    <row r="26" spans="2:18"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</row>
    <row r="27" spans="2:18"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</row>
    <row r="28" spans="2:18"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</row>
    <row r="29" spans="2:18"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</row>
    <row r="30" spans="2:18"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</row>
    <row r="31" spans="2:18"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</row>
    <row r="32" spans="2:18"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</row>
    <row r="33" spans="2:18"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</row>
    <row r="34" spans="2:18"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</row>
    <row r="35" spans="2:18"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</row>
    <row r="36" spans="2:18"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</row>
    <row r="37" spans="2:18"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</row>
    <row r="223" spans="2:4">
      <c r="B223" s="7" t="s">
        <v>36</v>
      </c>
      <c r="C223" s="7" t="s">
        <v>5</v>
      </c>
      <c r="D223" s="5"/>
    </row>
    <row r="224" spans="2:4">
      <c r="B224" s="7" t="s">
        <v>4</v>
      </c>
      <c r="C224" s="5" t="s">
        <v>15</v>
      </c>
      <c r="D224" s="5" t="s">
        <v>37</v>
      </c>
    </row>
    <row r="225" spans="2:4">
      <c r="B225" s="5" t="s">
        <v>8</v>
      </c>
      <c r="C225" s="5">
        <v>0.73469387755102045</v>
      </c>
      <c r="D225" s="5">
        <v>0.73469387755102045</v>
      </c>
    </row>
    <row r="226" spans="2:4">
      <c r="B226" s="5" t="s">
        <v>37</v>
      </c>
      <c r="C226" s="5">
        <v>0.73469387755102045</v>
      </c>
      <c r="D226" s="5">
        <v>0.73469387755102045</v>
      </c>
    </row>
  </sheetData>
  <mergeCells count="6">
    <mergeCell ref="J4:K5"/>
    <mergeCell ref="J6:K6"/>
    <mergeCell ref="F4:G5"/>
    <mergeCell ref="F6:G6"/>
    <mergeCell ref="H4:I5"/>
    <mergeCell ref="H6:I6"/>
  </mergeCells>
  <conditionalFormatting pivot="1" sqref="C225:D225">
    <cfRule type="cellIs" dxfId="2" priority="3" operator="lessThan">
      <formula>0.95</formula>
    </cfRule>
  </conditionalFormatting>
  <conditionalFormatting pivot="1" sqref="C225:D225">
    <cfRule type="cellIs" dxfId="1" priority="2" operator="equal">
      <formula>0.95</formula>
    </cfRule>
  </conditionalFormatting>
  <conditionalFormatting pivot="1" sqref="C225:D225">
    <cfRule type="cellIs" dxfId="0" priority="1" operator="greaterThan">
      <formula>0.95</formula>
    </cfRule>
  </conditionalFormatting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F12457-3DD8-45B5-BB6D-3AE94E70A9B6}">
  <dimension ref="A2:B21"/>
  <sheetViews>
    <sheetView topLeftCell="A6" workbookViewId="0">
      <selection activeCell="A18" sqref="A18"/>
    </sheetView>
  </sheetViews>
  <sheetFormatPr defaultRowHeight="15"/>
  <cols>
    <col min="1" max="1" width="14.7109375" bestFit="1" customWidth="1"/>
    <col min="2" max="2" width="23.42578125" bestFit="1" customWidth="1"/>
    <col min="3" max="3" width="30.42578125" bestFit="1" customWidth="1"/>
  </cols>
  <sheetData>
    <row r="2" spans="1:2">
      <c r="A2" s="4" t="s">
        <v>4</v>
      </c>
      <c r="B2" t="s">
        <v>39</v>
      </c>
    </row>
    <row r="3" spans="1:2">
      <c r="A3" t="s">
        <v>8</v>
      </c>
      <c r="B3" s="28">
        <v>169</v>
      </c>
    </row>
    <row r="4" spans="1:2">
      <c r="A4" t="s">
        <v>14</v>
      </c>
      <c r="B4" s="28">
        <v>178</v>
      </c>
    </row>
    <row r="5" spans="1:2">
      <c r="A5" t="s">
        <v>11</v>
      </c>
      <c r="B5" s="28">
        <v>201</v>
      </c>
    </row>
    <row r="6" spans="1:2">
      <c r="A6" t="s">
        <v>37</v>
      </c>
      <c r="B6" s="28">
        <v>548</v>
      </c>
    </row>
    <row r="10" spans="1:2">
      <c r="A10" s="4" t="s">
        <v>4</v>
      </c>
      <c r="B10" t="s">
        <v>36</v>
      </c>
    </row>
    <row r="11" spans="1:2">
      <c r="A11" t="s">
        <v>8</v>
      </c>
      <c r="B11" s="5">
        <v>0.67455621301775148</v>
      </c>
    </row>
    <row r="12" spans="1:2">
      <c r="A12" t="s">
        <v>14</v>
      </c>
      <c r="B12" s="5">
        <v>0.5898876404494382</v>
      </c>
    </row>
    <row r="13" spans="1:2">
      <c r="A13" t="s">
        <v>11</v>
      </c>
      <c r="B13" s="5">
        <v>0.57711442786069655</v>
      </c>
    </row>
    <row r="14" spans="1:2">
      <c r="A14" t="s">
        <v>37</v>
      </c>
      <c r="B14" s="5">
        <v>0.61131386861313863</v>
      </c>
    </row>
    <row r="17" spans="1:2">
      <c r="A17" s="4" t="s">
        <v>4</v>
      </c>
      <c r="B17" t="s">
        <v>38</v>
      </c>
    </row>
    <row r="18" spans="1:2">
      <c r="A18" t="s">
        <v>14</v>
      </c>
      <c r="B18" s="6">
        <v>3.0617977528089888</v>
      </c>
    </row>
    <row r="19" spans="1:2">
      <c r="A19" t="s">
        <v>11</v>
      </c>
      <c r="B19" s="6">
        <v>2.9900497512437809</v>
      </c>
    </row>
    <row r="20" spans="1:2">
      <c r="A20" t="s">
        <v>8</v>
      </c>
      <c r="B20" s="6">
        <v>2.7869822485207099</v>
      </c>
    </row>
    <row r="21" spans="1:2">
      <c r="A21" t="s">
        <v>37</v>
      </c>
      <c r="B21" s="6">
        <v>2.9507299270072993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E19FE8-3D96-4DCB-85A7-69D88218B908}">
  <dimension ref="A1:G549"/>
  <sheetViews>
    <sheetView tabSelected="1" workbookViewId="0">
      <selection activeCell="C1" sqref="C1"/>
    </sheetView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</v>
      </c>
      <c r="B2" s="1">
        <v>45476</v>
      </c>
      <c r="C2" s="1">
        <v>45477</v>
      </c>
      <c r="D2">
        <v>1</v>
      </c>
      <c r="E2" t="s">
        <v>8</v>
      </c>
      <c r="F2" t="s">
        <v>9</v>
      </c>
      <c r="G2" t="s">
        <v>10</v>
      </c>
    </row>
    <row r="3" spans="1:7">
      <c r="A3">
        <v>2</v>
      </c>
      <c r="B3" s="1">
        <v>45485</v>
      </c>
      <c r="C3" s="1">
        <v>45489</v>
      </c>
      <c r="D3">
        <v>4</v>
      </c>
      <c r="E3" t="s">
        <v>11</v>
      </c>
      <c r="F3" t="s">
        <v>12</v>
      </c>
      <c r="G3" t="s">
        <v>13</v>
      </c>
    </row>
    <row r="4" spans="1:7">
      <c r="A4">
        <v>3</v>
      </c>
      <c r="B4" s="1">
        <v>45500</v>
      </c>
      <c r="C4" s="1">
        <v>45505</v>
      </c>
      <c r="D4">
        <v>5</v>
      </c>
      <c r="E4" t="s">
        <v>11</v>
      </c>
      <c r="F4" t="s">
        <v>12</v>
      </c>
      <c r="G4" t="s">
        <v>13</v>
      </c>
    </row>
    <row r="5" spans="1:7">
      <c r="A5">
        <v>4</v>
      </c>
      <c r="B5" s="1">
        <v>45491</v>
      </c>
      <c r="C5" s="1">
        <v>45494</v>
      </c>
      <c r="D5">
        <v>3</v>
      </c>
      <c r="E5" t="s">
        <v>14</v>
      </c>
      <c r="F5" t="s">
        <v>9</v>
      </c>
      <c r="G5" t="s">
        <v>10</v>
      </c>
    </row>
    <row r="6" spans="1:7">
      <c r="A6">
        <v>5</v>
      </c>
      <c r="B6" s="1">
        <v>45486</v>
      </c>
      <c r="C6" s="1">
        <v>45491</v>
      </c>
      <c r="D6">
        <v>5</v>
      </c>
      <c r="E6" t="s">
        <v>14</v>
      </c>
      <c r="F6" t="s">
        <v>12</v>
      </c>
      <c r="G6" t="s">
        <v>13</v>
      </c>
    </row>
    <row r="7" spans="1:7">
      <c r="A7">
        <v>6</v>
      </c>
      <c r="B7" s="1">
        <v>45502</v>
      </c>
      <c r="C7" s="1">
        <v>45506</v>
      </c>
      <c r="D7">
        <v>4</v>
      </c>
      <c r="E7" t="s">
        <v>8</v>
      </c>
      <c r="F7" t="s">
        <v>9</v>
      </c>
      <c r="G7" t="s">
        <v>13</v>
      </c>
    </row>
    <row r="8" spans="1:7">
      <c r="A8">
        <v>7</v>
      </c>
      <c r="B8" s="1">
        <v>45480</v>
      </c>
      <c r="C8" s="1">
        <v>45485</v>
      </c>
      <c r="D8">
        <v>5</v>
      </c>
      <c r="E8" t="s">
        <v>8</v>
      </c>
      <c r="F8" t="s">
        <v>15</v>
      </c>
      <c r="G8" t="s">
        <v>13</v>
      </c>
    </row>
    <row r="9" spans="1:7">
      <c r="A9">
        <v>8</v>
      </c>
      <c r="B9" s="1">
        <v>45500</v>
      </c>
      <c r="C9" s="1">
        <v>45502</v>
      </c>
      <c r="D9">
        <v>2</v>
      </c>
      <c r="E9" t="s">
        <v>8</v>
      </c>
      <c r="F9" t="s">
        <v>9</v>
      </c>
      <c r="G9" t="s">
        <v>10</v>
      </c>
    </row>
    <row r="10" spans="1:7">
      <c r="A10">
        <v>9</v>
      </c>
      <c r="B10" s="1">
        <v>45498</v>
      </c>
      <c r="C10" s="1">
        <v>45500</v>
      </c>
      <c r="D10">
        <v>2</v>
      </c>
      <c r="E10" t="s">
        <v>8</v>
      </c>
      <c r="F10" t="s">
        <v>15</v>
      </c>
      <c r="G10" t="s">
        <v>10</v>
      </c>
    </row>
    <row r="11" spans="1:7">
      <c r="A11">
        <v>10</v>
      </c>
      <c r="B11" s="1">
        <v>45492</v>
      </c>
      <c r="C11" s="1">
        <v>45497</v>
      </c>
      <c r="D11">
        <v>5</v>
      </c>
      <c r="E11" t="s">
        <v>8</v>
      </c>
      <c r="F11" t="s">
        <v>12</v>
      </c>
      <c r="G11" t="s">
        <v>13</v>
      </c>
    </row>
    <row r="12" spans="1:7">
      <c r="A12">
        <v>11</v>
      </c>
      <c r="B12" s="1">
        <v>45487</v>
      </c>
      <c r="C12" s="1">
        <v>45490</v>
      </c>
      <c r="D12">
        <v>3</v>
      </c>
      <c r="E12" t="s">
        <v>8</v>
      </c>
      <c r="F12" t="s">
        <v>15</v>
      </c>
      <c r="G12" t="s">
        <v>10</v>
      </c>
    </row>
    <row r="13" spans="1:7">
      <c r="A13">
        <v>12</v>
      </c>
      <c r="B13" s="1">
        <v>45481</v>
      </c>
      <c r="C13" s="1">
        <v>45486</v>
      </c>
      <c r="D13">
        <v>5</v>
      </c>
      <c r="E13" t="s">
        <v>14</v>
      </c>
      <c r="F13" t="s">
        <v>15</v>
      </c>
      <c r="G13" t="s">
        <v>13</v>
      </c>
    </row>
    <row r="14" spans="1:7">
      <c r="A14">
        <v>13</v>
      </c>
      <c r="B14" s="1">
        <v>45478</v>
      </c>
      <c r="C14" s="1">
        <v>45482</v>
      </c>
      <c r="D14">
        <v>4</v>
      </c>
      <c r="E14" t="s">
        <v>8</v>
      </c>
      <c r="F14" t="s">
        <v>9</v>
      </c>
      <c r="G14" t="s">
        <v>13</v>
      </c>
    </row>
    <row r="15" spans="1:7">
      <c r="A15">
        <v>14</v>
      </c>
      <c r="B15" s="1">
        <v>45500</v>
      </c>
      <c r="C15" s="1">
        <v>45501</v>
      </c>
      <c r="D15">
        <v>1</v>
      </c>
      <c r="E15" t="s">
        <v>11</v>
      </c>
      <c r="F15" t="s">
        <v>12</v>
      </c>
      <c r="G15" t="s">
        <v>10</v>
      </c>
    </row>
    <row r="16" spans="1:7">
      <c r="A16">
        <v>15</v>
      </c>
      <c r="B16" s="1">
        <v>45494</v>
      </c>
      <c r="C16" s="1">
        <v>45496</v>
      </c>
      <c r="D16">
        <v>2</v>
      </c>
      <c r="E16" t="s">
        <v>11</v>
      </c>
      <c r="F16" t="s">
        <v>15</v>
      </c>
      <c r="G16" t="s">
        <v>10</v>
      </c>
    </row>
    <row r="17" spans="1:7">
      <c r="A17">
        <v>16</v>
      </c>
      <c r="B17" s="1">
        <v>45503</v>
      </c>
      <c r="C17" s="1">
        <v>45507</v>
      </c>
      <c r="D17">
        <v>4</v>
      </c>
      <c r="E17" t="s">
        <v>8</v>
      </c>
      <c r="F17" t="s">
        <v>9</v>
      </c>
      <c r="G17" t="s">
        <v>13</v>
      </c>
    </row>
    <row r="18" spans="1:7">
      <c r="A18">
        <v>17</v>
      </c>
      <c r="B18" s="1">
        <v>45502</v>
      </c>
      <c r="C18" s="1">
        <v>45503</v>
      </c>
      <c r="D18">
        <v>1</v>
      </c>
      <c r="E18" t="s">
        <v>8</v>
      </c>
      <c r="F18" t="s">
        <v>9</v>
      </c>
      <c r="G18" t="s">
        <v>10</v>
      </c>
    </row>
    <row r="19" spans="1:7">
      <c r="A19">
        <v>18</v>
      </c>
      <c r="B19" s="1">
        <v>45476</v>
      </c>
      <c r="C19" s="1">
        <v>45477</v>
      </c>
      <c r="D19">
        <v>1</v>
      </c>
      <c r="E19" t="s">
        <v>11</v>
      </c>
      <c r="F19" t="s">
        <v>15</v>
      </c>
      <c r="G19" t="s">
        <v>10</v>
      </c>
    </row>
    <row r="20" spans="1:7">
      <c r="A20">
        <v>19</v>
      </c>
      <c r="B20" s="1">
        <v>45490</v>
      </c>
      <c r="C20" s="1">
        <v>45493</v>
      </c>
      <c r="D20">
        <v>3</v>
      </c>
      <c r="E20" t="s">
        <v>14</v>
      </c>
      <c r="F20" t="s">
        <v>12</v>
      </c>
      <c r="G20" t="s">
        <v>10</v>
      </c>
    </row>
    <row r="21" spans="1:7">
      <c r="A21">
        <v>20</v>
      </c>
      <c r="B21" s="1">
        <v>45503</v>
      </c>
      <c r="C21" s="1">
        <v>45504</v>
      </c>
      <c r="D21">
        <v>1</v>
      </c>
      <c r="E21" t="s">
        <v>8</v>
      </c>
      <c r="F21" t="s">
        <v>12</v>
      </c>
      <c r="G21" t="s">
        <v>10</v>
      </c>
    </row>
    <row r="22" spans="1:7">
      <c r="A22">
        <v>21</v>
      </c>
      <c r="B22" s="1">
        <v>45497</v>
      </c>
      <c r="C22" s="1">
        <v>45498</v>
      </c>
      <c r="D22">
        <v>1</v>
      </c>
      <c r="E22" t="s">
        <v>8</v>
      </c>
      <c r="F22" t="s">
        <v>9</v>
      </c>
      <c r="G22" t="s">
        <v>10</v>
      </c>
    </row>
    <row r="23" spans="1:7">
      <c r="A23">
        <v>22</v>
      </c>
      <c r="B23" s="1">
        <v>45483</v>
      </c>
      <c r="C23" s="1">
        <v>45484</v>
      </c>
      <c r="D23">
        <v>1</v>
      </c>
      <c r="E23" t="s">
        <v>11</v>
      </c>
      <c r="F23" t="s">
        <v>15</v>
      </c>
      <c r="G23" t="s">
        <v>10</v>
      </c>
    </row>
    <row r="24" spans="1:7">
      <c r="A24">
        <v>23</v>
      </c>
      <c r="B24" s="1">
        <v>45502</v>
      </c>
      <c r="C24" s="1">
        <v>45507</v>
      </c>
      <c r="D24">
        <v>5</v>
      </c>
      <c r="E24" t="s">
        <v>11</v>
      </c>
      <c r="F24" t="s">
        <v>12</v>
      </c>
      <c r="G24" t="s">
        <v>13</v>
      </c>
    </row>
    <row r="25" spans="1:7">
      <c r="A25">
        <v>24</v>
      </c>
      <c r="B25" s="1">
        <v>45498</v>
      </c>
      <c r="C25" s="1">
        <v>45500</v>
      </c>
      <c r="D25">
        <v>2</v>
      </c>
      <c r="E25" t="s">
        <v>11</v>
      </c>
      <c r="F25" t="s">
        <v>12</v>
      </c>
      <c r="G25" t="s">
        <v>10</v>
      </c>
    </row>
    <row r="26" spans="1:7">
      <c r="A26">
        <v>25</v>
      </c>
      <c r="B26" s="1">
        <v>45503</v>
      </c>
      <c r="C26" s="1">
        <v>45505</v>
      </c>
      <c r="D26">
        <v>2</v>
      </c>
      <c r="E26" t="s">
        <v>14</v>
      </c>
      <c r="F26" t="s">
        <v>12</v>
      </c>
      <c r="G26" t="s">
        <v>10</v>
      </c>
    </row>
    <row r="27" spans="1:7">
      <c r="A27">
        <v>26</v>
      </c>
      <c r="B27" s="1">
        <v>45483</v>
      </c>
      <c r="C27" s="1">
        <v>45484</v>
      </c>
      <c r="D27">
        <v>1</v>
      </c>
      <c r="E27" t="s">
        <v>8</v>
      </c>
      <c r="F27" t="s">
        <v>12</v>
      </c>
      <c r="G27" t="s">
        <v>10</v>
      </c>
    </row>
    <row r="28" spans="1:7">
      <c r="A28">
        <v>27</v>
      </c>
      <c r="B28" s="1">
        <v>45504</v>
      </c>
      <c r="C28" s="1">
        <v>45507</v>
      </c>
      <c r="D28">
        <v>3</v>
      </c>
      <c r="E28" t="s">
        <v>14</v>
      </c>
      <c r="F28" t="s">
        <v>15</v>
      </c>
      <c r="G28" t="s">
        <v>10</v>
      </c>
    </row>
    <row r="29" spans="1:7">
      <c r="A29">
        <v>28</v>
      </c>
      <c r="B29" s="1">
        <v>45481</v>
      </c>
      <c r="C29" s="1">
        <v>45486</v>
      </c>
      <c r="D29">
        <v>5</v>
      </c>
      <c r="E29" t="s">
        <v>11</v>
      </c>
      <c r="F29" t="s">
        <v>9</v>
      </c>
      <c r="G29" t="s">
        <v>13</v>
      </c>
    </row>
    <row r="30" spans="1:7">
      <c r="A30">
        <v>29</v>
      </c>
      <c r="B30" s="1">
        <v>45488</v>
      </c>
      <c r="C30" s="1">
        <v>45492</v>
      </c>
      <c r="D30">
        <v>4</v>
      </c>
      <c r="E30" t="s">
        <v>11</v>
      </c>
      <c r="F30" t="s">
        <v>15</v>
      </c>
      <c r="G30" t="s">
        <v>13</v>
      </c>
    </row>
    <row r="31" spans="1:7">
      <c r="A31">
        <v>30</v>
      </c>
      <c r="B31" s="1">
        <v>45487</v>
      </c>
      <c r="C31" s="1">
        <v>45491</v>
      </c>
      <c r="D31">
        <v>4</v>
      </c>
      <c r="E31" t="s">
        <v>14</v>
      </c>
      <c r="F31" t="s">
        <v>15</v>
      </c>
      <c r="G31" t="s">
        <v>13</v>
      </c>
    </row>
    <row r="32" spans="1:7">
      <c r="A32">
        <v>31</v>
      </c>
      <c r="B32" s="1">
        <v>45487</v>
      </c>
      <c r="C32" s="1">
        <v>45489</v>
      </c>
      <c r="D32">
        <v>2</v>
      </c>
      <c r="E32" t="s">
        <v>8</v>
      </c>
      <c r="F32" t="s">
        <v>15</v>
      </c>
      <c r="G32" t="s">
        <v>10</v>
      </c>
    </row>
    <row r="33" spans="1:7">
      <c r="A33">
        <v>32</v>
      </c>
      <c r="B33" s="1">
        <v>45485</v>
      </c>
      <c r="C33" s="1">
        <v>45489</v>
      </c>
      <c r="D33">
        <v>4</v>
      </c>
      <c r="E33" t="s">
        <v>8</v>
      </c>
      <c r="F33" t="s">
        <v>9</v>
      </c>
      <c r="G33" t="s">
        <v>13</v>
      </c>
    </row>
    <row r="34" spans="1:7">
      <c r="A34">
        <v>33</v>
      </c>
      <c r="B34" s="1">
        <v>45484</v>
      </c>
      <c r="C34" s="1">
        <v>45485</v>
      </c>
      <c r="D34">
        <v>1</v>
      </c>
      <c r="E34" t="s">
        <v>11</v>
      </c>
      <c r="F34" t="s">
        <v>9</v>
      </c>
      <c r="G34" t="s">
        <v>10</v>
      </c>
    </row>
    <row r="35" spans="1:7">
      <c r="A35">
        <v>34</v>
      </c>
      <c r="B35" s="1">
        <v>45489</v>
      </c>
      <c r="C35" s="1">
        <v>45490</v>
      </c>
      <c r="D35">
        <v>1</v>
      </c>
      <c r="E35" t="s">
        <v>14</v>
      </c>
      <c r="F35" t="s">
        <v>12</v>
      </c>
      <c r="G35" t="s">
        <v>10</v>
      </c>
    </row>
    <row r="36" spans="1:7">
      <c r="A36">
        <v>35</v>
      </c>
      <c r="B36" s="1">
        <v>45493</v>
      </c>
      <c r="C36" s="1">
        <v>45494</v>
      </c>
      <c r="D36">
        <v>1</v>
      </c>
      <c r="E36" t="s">
        <v>11</v>
      </c>
      <c r="F36" t="s">
        <v>9</v>
      </c>
      <c r="G36" t="s">
        <v>10</v>
      </c>
    </row>
    <row r="37" spans="1:7">
      <c r="A37">
        <v>36</v>
      </c>
      <c r="B37" s="1">
        <v>45496</v>
      </c>
      <c r="C37" s="1">
        <v>45499</v>
      </c>
      <c r="D37">
        <v>3</v>
      </c>
      <c r="E37" t="s">
        <v>11</v>
      </c>
      <c r="F37" t="s">
        <v>12</v>
      </c>
      <c r="G37" t="s">
        <v>10</v>
      </c>
    </row>
    <row r="38" spans="1:7">
      <c r="A38">
        <v>37</v>
      </c>
      <c r="B38" s="1">
        <v>45488</v>
      </c>
      <c r="C38" s="1">
        <v>45493</v>
      </c>
      <c r="D38">
        <v>5</v>
      </c>
      <c r="E38" t="s">
        <v>14</v>
      </c>
      <c r="F38" t="s">
        <v>15</v>
      </c>
      <c r="G38" t="s">
        <v>13</v>
      </c>
    </row>
    <row r="39" spans="1:7">
      <c r="A39">
        <v>38</v>
      </c>
      <c r="B39" s="1">
        <v>45490</v>
      </c>
      <c r="C39" s="1">
        <v>45494</v>
      </c>
      <c r="D39">
        <v>4</v>
      </c>
      <c r="E39" t="s">
        <v>11</v>
      </c>
      <c r="F39" t="s">
        <v>15</v>
      </c>
      <c r="G39" t="s">
        <v>13</v>
      </c>
    </row>
    <row r="40" spans="1:7">
      <c r="A40">
        <v>39</v>
      </c>
      <c r="B40" s="1">
        <v>45474</v>
      </c>
      <c r="C40" s="1">
        <v>45476</v>
      </c>
      <c r="D40">
        <v>2</v>
      </c>
      <c r="E40" t="s">
        <v>14</v>
      </c>
      <c r="F40" t="s">
        <v>15</v>
      </c>
      <c r="G40" t="s">
        <v>10</v>
      </c>
    </row>
    <row r="41" spans="1:7">
      <c r="A41">
        <v>40</v>
      </c>
      <c r="B41" s="1">
        <v>45497</v>
      </c>
      <c r="C41" s="1">
        <v>45498</v>
      </c>
      <c r="D41">
        <v>1</v>
      </c>
      <c r="E41" t="s">
        <v>14</v>
      </c>
      <c r="F41" t="s">
        <v>9</v>
      </c>
      <c r="G41" t="s">
        <v>10</v>
      </c>
    </row>
    <row r="42" spans="1:7">
      <c r="A42">
        <v>41</v>
      </c>
      <c r="B42" s="1">
        <v>45497</v>
      </c>
      <c r="C42" s="1">
        <v>45500</v>
      </c>
      <c r="D42">
        <v>3</v>
      </c>
      <c r="E42" t="s">
        <v>8</v>
      </c>
      <c r="F42" t="s">
        <v>9</v>
      </c>
      <c r="G42" t="s">
        <v>10</v>
      </c>
    </row>
    <row r="43" spans="1:7">
      <c r="A43">
        <v>42</v>
      </c>
      <c r="B43" s="1">
        <v>45477</v>
      </c>
      <c r="C43" s="1">
        <v>45478</v>
      </c>
      <c r="D43">
        <v>1</v>
      </c>
      <c r="E43" t="s">
        <v>14</v>
      </c>
      <c r="F43" t="s">
        <v>9</v>
      </c>
      <c r="G43" t="s">
        <v>10</v>
      </c>
    </row>
    <row r="44" spans="1:7">
      <c r="A44">
        <v>43</v>
      </c>
      <c r="B44" s="1">
        <v>45479</v>
      </c>
      <c r="C44" s="1">
        <v>45482</v>
      </c>
      <c r="D44">
        <v>3</v>
      </c>
      <c r="E44" t="s">
        <v>11</v>
      </c>
      <c r="F44" t="s">
        <v>9</v>
      </c>
      <c r="G44" t="s">
        <v>10</v>
      </c>
    </row>
    <row r="45" spans="1:7">
      <c r="A45">
        <v>44</v>
      </c>
      <c r="B45" s="1">
        <v>45494</v>
      </c>
      <c r="C45" s="1">
        <v>45497</v>
      </c>
      <c r="D45">
        <v>3</v>
      </c>
      <c r="E45" t="s">
        <v>8</v>
      </c>
      <c r="F45" t="s">
        <v>15</v>
      </c>
      <c r="G45" t="s">
        <v>10</v>
      </c>
    </row>
    <row r="46" spans="1:7">
      <c r="A46">
        <v>45</v>
      </c>
      <c r="B46" s="1">
        <v>45504</v>
      </c>
      <c r="C46" s="1">
        <v>45508</v>
      </c>
      <c r="D46">
        <v>4</v>
      </c>
      <c r="E46" t="s">
        <v>8</v>
      </c>
      <c r="F46" t="s">
        <v>15</v>
      </c>
      <c r="G46" t="s">
        <v>13</v>
      </c>
    </row>
    <row r="47" spans="1:7">
      <c r="A47">
        <v>46</v>
      </c>
      <c r="B47" s="1">
        <v>45486</v>
      </c>
      <c r="C47" s="1">
        <v>45489</v>
      </c>
      <c r="D47">
        <v>3</v>
      </c>
      <c r="E47" t="s">
        <v>8</v>
      </c>
      <c r="F47" t="s">
        <v>15</v>
      </c>
      <c r="G47" t="s">
        <v>10</v>
      </c>
    </row>
    <row r="48" spans="1:7">
      <c r="A48">
        <v>47</v>
      </c>
      <c r="B48" s="1">
        <v>45501</v>
      </c>
      <c r="C48" s="1">
        <v>45502</v>
      </c>
      <c r="D48">
        <v>1</v>
      </c>
      <c r="E48" t="s">
        <v>11</v>
      </c>
      <c r="F48" t="s">
        <v>15</v>
      </c>
      <c r="G48" t="s">
        <v>10</v>
      </c>
    </row>
    <row r="49" spans="1:7">
      <c r="A49">
        <v>48</v>
      </c>
      <c r="B49" s="1">
        <v>45486</v>
      </c>
      <c r="C49" s="1">
        <v>45490</v>
      </c>
      <c r="D49">
        <v>4</v>
      </c>
      <c r="E49" t="s">
        <v>11</v>
      </c>
      <c r="F49" t="s">
        <v>15</v>
      </c>
      <c r="G49" t="s">
        <v>13</v>
      </c>
    </row>
    <row r="50" spans="1:7">
      <c r="A50">
        <v>49</v>
      </c>
      <c r="B50" s="1">
        <v>45476</v>
      </c>
      <c r="C50" s="1">
        <v>45479</v>
      </c>
      <c r="D50">
        <v>3</v>
      </c>
      <c r="E50" t="s">
        <v>11</v>
      </c>
      <c r="F50" t="s">
        <v>9</v>
      </c>
      <c r="G50" t="s">
        <v>10</v>
      </c>
    </row>
    <row r="51" spans="1:7">
      <c r="A51">
        <v>50</v>
      </c>
      <c r="B51" s="1">
        <v>45504</v>
      </c>
      <c r="C51" s="1">
        <v>45509</v>
      </c>
      <c r="D51">
        <v>5</v>
      </c>
      <c r="E51" t="s">
        <v>14</v>
      </c>
      <c r="F51" t="s">
        <v>12</v>
      </c>
      <c r="G51" t="s">
        <v>13</v>
      </c>
    </row>
    <row r="52" spans="1:7">
      <c r="A52">
        <v>51</v>
      </c>
      <c r="B52" s="1">
        <v>45495</v>
      </c>
      <c r="C52" s="1">
        <v>45498</v>
      </c>
      <c r="D52">
        <v>3</v>
      </c>
      <c r="E52" t="s">
        <v>14</v>
      </c>
      <c r="F52" t="s">
        <v>12</v>
      </c>
      <c r="G52" t="s">
        <v>10</v>
      </c>
    </row>
    <row r="53" spans="1:7">
      <c r="A53">
        <v>52</v>
      </c>
      <c r="B53" s="1">
        <v>45494</v>
      </c>
      <c r="C53" s="1">
        <v>45498</v>
      </c>
      <c r="D53">
        <v>4</v>
      </c>
      <c r="E53" t="s">
        <v>11</v>
      </c>
      <c r="F53" t="s">
        <v>15</v>
      </c>
      <c r="G53" t="s">
        <v>13</v>
      </c>
    </row>
    <row r="54" spans="1:7">
      <c r="A54">
        <v>53</v>
      </c>
      <c r="B54" s="1">
        <v>45497</v>
      </c>
      <c r="C54" s="1">
        <v>45498</v>
      </c>
      <c r="D54">
        <v>1</v>
      </c>
      <c r="E54" t="s">
        <v>11</v>
      </c>
      <c r="F54" t="s">
        <v>15</v>
      </c>
      <c r="G54" t="s">
        <v>10</v>
      </c>
    </row>
    <row r="55" spans="1:7">
      <c r="A55">
        <v>54</v>
      </c>
      <c r="B55" s="1">
        <v>45480</v>
      </c>
      <c r="C55" s="1">
        <v>45481</v>
      </c>
      <c r="D55">
        <v>1</v>
      </c>
      <c r="E55" t="s">
        <v>14</v>
      </c>
      <c r="F55" t="s">
        <v>12</v>
      </c>
      <c r="G55" t="s">
        <v>10</v>
      </c>
    </row>
    <row r="56" spans="1:7">
      <c r="A56">
        <v>55</v>
      </c>
      <c r="B56" s="1">
        <v>45478</v>
      </c>
      <c r="C56" s="1">
        <v>45483</v>
      </c>
      <c r="D56">
        <v>5</v>
      </c>
      <c r="E56" t="s">
        <v>14</v>
      </c>
      <c r="F56" t="s">
        <v>12</v>
      </c>
      <c r="G56" t="s">
        <v>13</v>
      </c>
    </row>
    <row r="57" spans="1:7">
      <c r="A57">
        <v>56</v>
      </c>
      <c r="B57" s="1">
        <v>45477</v>
      </c>
      <c r="C57" s="1">
        <v>45482</v>
      </c>
      <c r="D57">
        <v>5</v>
      </c>
      <c r="E57" t="s">
        <v>14</v>
      </c>
      <c r="F57" t="s">
        <v>15</v>
      </c>
      <c r="G57" t="s">
        <v>13</v>
      </c>
    </row>
    <row r="58" spans="1:7">
      <c r="A58">
        <v>57</v>
      </c>
      <c r="B58" s="1">
        <v>45479</v>
      </c>
      <c r="C58" s="1">
        <v>45480</v>
      </c>
      <c r="D58">
        <v>1</v>
      </c>
      <c r="E58" t="s">
        <v>11</v>
      </c>
      <c r="F58" t="s">
        <v>9</v>
      </c>
      <c r="G58" t="s">
        <v>10</v>
      </c>
    </row>
    <row r="59" spans="1:7">
      <c r="A59">
        <v>58</v>
      </c>
      <c r="B59" s="1">
        <v>45483</v>
      </c>
      <c r="C59" s="1">
        <v>45488</v>
      </c>
      <c r="D59">
        <v>5</v>
      </c>
      <c r="E59" t="s">
        <v>14</v>
      </c>
      <c r="F59" t="s">
        <v>9</v>
      </c>
      <c r="G59" t="s">
        <v>13</v>
      </c>
    </row>
    <row r="60" spans="1:7">
      <c r="A60">
        <v>59</v>
      </c>
      <c r="B60" s="1">
        <v>45490</v>
      </c>
      <c r="C60" s="1">
        <v>45495</v>
      </c>
      <c r="D60">
        <v>5</v>
      </c>
      <c r="E60" t="s">
        <v>11</v>
      </c>
      <c r="F60" t="s">
        <v>12</v>
      </c>
      <c r="G60" t="s">
        <v>13</v>
      </c>
    </row>
    <row r="61" spans="1:7">
      <c r="A61">
        <v>60</v>
      </c>
      <c r="B61" s="1">
        <v>45476</v>
      </c>
      <c r="C61" s="1">
        <v>45477</v>
      </c>
      <c r="D61">
        <v>1</v>
      </c>
      <c r="E61" t="s">
        <v>14</v>
      </c>
      <c r="F61" t="s">
        <v>15</v>
      </c>
      <c r="G61" t="s">
        <v>10</v>
      </c>
    </row>
    <row r="62" spans="1:7">
      <c r="A62">
        <v>61</v>
      </c>
      <c r="B62" s="1">
        <v>45484</v>
      </c>
      <c r="C62" s="1">
        <v>45485</v>
      </c>
      <c r="D62">
        <v>1</v>
      </c>
      <c r="E62" t="s">
        <v>8</v>
      </c>
      <c r="F62" t="s">
        <v>12</v>
      </c>
      <c r="G62" t="s">
        <v>10</v>
      </c>
    </row>
    <row r="63" spans="1:7">
      <c r="A63">
        <v>62</v>
      </c>
      <c r="B63" s="1">
        <v>45503</v>
      </c>
      <c r="C63" s="1">
        <v>45507</v>
      </c>
      <c r="D63">
        <v>4</v>
      </c>
      <c r="E63" t="s">
        <v>14</v>
      </c>
      <c r="F63" t="s">
        <v>9</v>
      </c>
      <c r="G63" t="s">
        <v>13</v>
      </c>
    </row>
    <row r="64" spans="1:7">
      <c r="A64">
        <v>63</v>
      </c>
      <c r="B64" s="1">
        <v>45481</v>
      </c>
      <c r="C64" s="1">
        <v>45485</v>
      </c>
      <c r="D64">
        <v>4</v>
      </c>
      <c r="E64" t="s">
        <v>11</v>
      </c>
      <c r="F64" t="s">
        <v>9</v>
      </c>
      <c r="G64" t="s">
        <v>13</v>
      </c>
    </row>
    <row r="65" spans="1:7">
      <c r="A65">
        <v>64</v>
      </c>
      <c r="B65" s="1">
        <v>45476</v>
      </c>
      <c r="C65" s="1">
        <v>45481</v>
      </c>
      <c r="D65">
        <v>5</v>
      </c>
      <c r="E65" t="s">
        <v>8</v>
      </c>
      <c r="F65" t="s">
        <v>9</v>
      </c>
      <c r="G65" t="s">
        <v>13</v>
      </c>
    </row>
    <row r="66" spans="1:7">
      <c r="A66">
        <v>65</v>
      </c>
      <c r="B66" s="1">
        <v>45498</v>
      </c>
      <c r="C66" s="1">
        <v>45501</v>
      </c>
      <c r="D66">
        <v>3</v>
      </c>
      <c r="E66" t="s">
        <v>14</v>
      </c>
      <c r="F66" t="s">
        <v>9</v>
      </c>
      <c r="G66" t="s">
        <v>10</v>
      </c>
    </row>
    <row r="67" spans="1:7">
      <c r="A67">
        <v>66</v>
      </c>
      <c r="B67" s="1">
        <v>45498</v>
      </c>
      <c r="C67" s="1">
        <v>45502</v>
      </c>
      <c r="D67">
        <v>4</v>
      </c>
      <c r="E67" t="s">
        <v>8</v>
      </c>
      <c r="F67" t="s">
        <v>9</v>
      </c>
      <c r="G67" t="s">
        <v>13</v>
      </c>
    </row>
    <row r="68" spans="1:7">
      <c r="A68">
        <v>67</v>
      </c>
      <c r="B68" s="1">
        <v>45501</v>
      </c>
      <c r="C68" s="1">
        <v>45505</v>
      </c>
      <c r="D68">
        <v>4</v>
      </c>
      <c r="E68" t="s">
        <v>11</v>
      </c>
      <c r="F68" t="s">
        <v>12</v>
      </c>
      <c r="G68" t="s">
        <v>13</v>
      </c>
    </row>
    <row r="69" spans="1:7">
      <c r="A69">
        <v>68</v>
      </c>
      <c r="B69" s="1">
        <v>45478</v>
      </c>
      <c r="C69" s="1">
        <v>45479</v>
      </c>
      <c r="D69">
        <v>1</v>
      </c>
      <c r="E69" t="s">
        <v>11</v>
      </c>
      <c r="F69" t="s">
        <v>15</v>
      </c>
      <c r="G69" t="s">
        <v>10</v>
      </c>
    </row>
    <row r="70" spans="1:7">
      <c r="A70">
        <v>69</v>
      </c>
      <c r="B70" s="1">
        <v>45494</v>
      </c>
      <c r="C70" s="1">
        <v>45498</v>
      </c>
      <c r="D70">
        <v>4</v>
      </c>
      <c r="E70" t="s">
        <v>14</v>
      </c>
      <c r="F70" t="s">
        <v>15</v>
      </c>
      <c r="G70" t="s">
        <v>13</v>
      </c>
    </row>
    <row r="71" spans="1:7">
      <c r="A71">
        <v>70</v>
      </c>
      <c r="B71" s="1">
        <v>45486</v>
      </c>
      <c r="C71" s="1">
        <v>45491</v>
      </c>
      <c r="D71">
        <v>5</v>
      </c>
      <c r="E71" t="s">
        <v>8</v>
      </c>
      <c r="F71" t="s">
        <v>15</v>
      </c>
      <c r="G71" t="s">
        <v>13</v>
      </c>
    </row>
    <row r="72" spans="1:7">
      <c r="A72">
        <v>71</v>
      </c>
      <c r="B72" s="1">
        <v>45484</v>
      </c>
      <c r="C72" s="1">
        <v>45489</v>
      </c>
      <c r="D72">
        <v>5</v>
      </c>
      <c r="E72" t="s">
        <v>11</v>
      </c>
      <c r="F72" t="s">
        <v>15</v>
      </c>
      <c r="G72" t="s">
        <v>13</v>
      </c>
    </row>
    <row r="73" spans="1:7">
      <c r="A73">
        <v>72</v>
      </c>
      <c r="B73" s="1">
        <v>45495</v>
      </c>
      <c r="C73" s="1">
        <v>45497</v>
      </c>
      <c r="D73">
        <v>2</v>
      </c>
      <c r="E73" t="s">
        <v>8</v>
      </c>
      <c r="F73" t="s">
        <v>9</v>
      </c>
      <c r="G73" t="s">
        <v>10</v>
      </c>
    </row>
    <row r="74" spans="1:7">
      <c r="A74">
        <v>73</v>
      </c>
      <c r="B74" s="1">
        <v>45480</v>
      </c>
      <c r="C74" s="1">
        <v>45482</v>
      </c>
      <c r="D74">
        <v>2</v>
      </c>
      <c r="E74" t="s">
        <v>11</v>
      </c>
      <c r="F74" t="s">
        <v>12</v>
      </c>
      <c r="G74" t="s">
        <v>10</v>
      </c>
    </row>
    <row r="75" spans="1:7">
      <c r="A75">
        <v>74</v>
      </c>
      <c r="B75" s="1">
        <v>45496</v>
      </c>
      <c r="C75" s="1">
        <v>45497</v>
      </c>
      <c r="D75">
        <v>1</v>
      </c>
      <c r="E75" t="s">
        <v>8</v>
      </c>
      <c r="F75" t="s">
        <v>15</v>
      </c>
      <c r="G75" t="s">
        <v>10</v>
      </c>
    </row>
    <row r="76" spans="1:7">
      <c r="A76">
        <v>75</v>
      </c>
      <c r="B76" s="1">
        <v>45492</v>
      </c>
      <c r="C76" s="1">
        <v>45495</v>
      </c>
      <c r="D76">
        <v>3</v>
      </c>
      <c r="E76" t="s">
        <v>8</v>
      </c>
      <c r="F76" t="s">
        <v>9</v>
      </c>
      <c r="G76" t="s">
        <v>10</v>
      </c>
    </row>
    <row r="77" spans="1:7">
      <c r="A77">
        <v>76</v>
      </c>
      <c r="B77" s="1">
        <v>45478</v>
      </c>
      <c r="C77" s="1">
        <v>45480</v>
      </c>
      <c r="D77">
        <v>2</v>
      </c>
      <c r="E77" t="s">
        <v>8</v>
      </c>
      <c r="F77" t="s">
        <v>12</v>
      </c>
      <c r="G77" t="s">
        <v>10</v>
      </c>
    </row>
    <row r="78" spans="1:7">
      <c r="A78">
        <v>77</v>
      </c>
      <c r="B78" s="1">
        <v>45477</v>
      </c>
      <c r="C78" s="1">
        <v>45481</v>
      </c>
      <c r="D78">
        <v>4</v>
      </c>
      <c r="E78" t="s">
        <v>11</v>
      </c>
      <c r="F78" t="s">
        <v>12</v>
      </c>
      <c r="G78" t="s">
        <v>13</v>
      </c>
    </row>
    <row r="79" spans="1:7">
      <c r="A79">
        <v>78</v>
      </c>
      <c r="B79" s="1">
        <v>45487</v>
      </c>
      <c r="C79" s="1">
        <v>45492</v>
      </c>
      <c r="D79">
        <v>5</v>
      </c>
      <c r="E79" t="s">
        <v>14</v>
      </c>
      <c r="F79" t="s">
        <v>12</v>
      </c>
      <c r="G79" t="s">
        <v>13</v>
      </c>
    </row>
    <row r="80" spans="1:7">
      <c r="A80">
        <v>79</v>
      </c>
      <c r="B80" s="1">
        <v>45502</v>
      </c>
      <c r="C80" s="1">
        <v>45503</v>
      </c>
      <c r="D80">
        <v>1</v>
      </c>
      <c r="E80" t="s">
        <v>11</v>
      </c>
      <c r="F80" t="s">
        <v>12</v>
      </c>
      <c r="G80" t="s">
        <v>10</v>
      </c>
    </row>
    <row r="81" spans="1:7">
      <c r="A81">
        <v>80</v>
      </c>
      <c r="B81" s="1">
        <v>45478</v>
      </c>
      <c r="C81" s="1">
        <v>45480</v>
      </c>
      <c r="D81">
        <v>2</v>
      </c>
      <c r="E81" t="s">
        <v>8</v>
      </c>
      <c r="F81" t="s">
        <v>12</v>
      </c>
      <c r="G81" t="s">
        <v>10</v>
      </c>
    </row>
    <row r="82" spans="1:7">
      <c r="A82">
        <v>81</v>
      </c>
      <c r="B82" s="1">
        <v>45479</v>
      </c>
      <c r="C82" s="1">
        <v>45481</v>
      </c>
      <c r="D82">
        <v>2</v>
      </c>
      <c r="E82" t="s">
        <v>11</v>
      </c>
      <c r="F82" t="s">
        <v>15</v>
      </c>
      <c r="G82" t="s">
        <v>10</v>
      </c>
    </row>
    <row r="83" spans="1:7">
      <c r="A83">
        <v>82</v>
      </c>
      <c r="B83" s="1">
        <v>45480</v>
      </c>
      <c r="C83" s="1">
        <v>45482</v>
      </c>
      <c r="D83">
        <v>2</v>
      </c>
      <c r="E83" t="s">
        <v>8</v>
      </c>
      <c r="F83" t="s">
        <v>15</v>
      </c>
      <c r="G83" t="s">
        <v>10</v>
      </c>
    </row>
    <row r="84" spans="1:7">
      <c r="A84">
        <v>83</v>
      </c>
      <c r="B84" s="1">
        <v>45501</v>
      </c>
      <c r="C84" s="1">
        <v>45502</v>
      </c>
      <c r="D84">
        <v>1</v>
      </c>
      <c r="E84" t="s">
        <v>8</v>
      </c>
      <c r="F84" t="s">
        <v>15</v>
      </c>
      <c r="G84" t="s">
        <v>10</v>
      </c>
    </row>
    <row r="85" spans="1:7">
      <c r="A85">
        <v>84</v>
      </c>
      <c r="B85" s="1">
        <v>45474</v>
      </c>
      <c r="C85" s="1">
        <v>45478</v>
      </c>
      <c r="D85">
        <v>4</v>
      </c>
      <c r="E85" t="s">
        <v>8</v>
      </c>
      <c r="F85" t="s">
        <v>12</v>
      </c>
      <c r="G85" t="s">
        <v>13</v>
      </c>
    </row>
    <row r="86" spans="1:7">
      <c r="A86">
        <v>85</v>
      </c>
      <c r="B86" s="1">
        <v>45475</v>
      </c>
      <c r="C86" s="1">
        <v>45478</v>
      </c>
      <c r="D86">
        <v>3</v>
      </c>
      <c r="E86" t="s">
        <v>14</v>
      </c>
      <c r="F86" t="s">
        <v>15</v>
      </c>
      <c r="G86" t="s">
        <v>10</v>
      </c>
    </row>
    <row r="87" spans="1:7">
      <c r="A87">
        <v>86</v>
      </c>
      <c r="B87" s="1">
        <v>45503</v>
      </c>
      <c r="C87" s="1">
        <v>45506</v>
      </c>
      <c r="D87">
        <v>3</v>
      </c>
      <c r="E87" t="s">
        <v>11</v>
      </c>
      <c r="F87" t="s">
        <v>12</v>
      </c>
      <c r="G87" t="s">
        <v>10</v>
      </c>
    </row>
    <row r="88" spans="1:7">
      <c r="A88">
        <v>87</v>
      </c>
      <c r="B88" s="1">
        <v>45485</v>
      </c>
      <c r="C88" s="1">
        <v>45488</v>
      </c>
      <c r="D88">
        <v>3</v>
      </c>
      <c r="E88" t="s">
        <v>8</v>
      </c>
      <c r="F88" t="s">
        <v>12</v>
      </c>
      <c r="G88" t="s">
        <v>10</v>
      </c>
    </row>
    <row r="89" spans="1:7">
      <c r="A89">
        <v>88</v>
      </c>
      <c r="B89" s="1">
        <v>45497</v>
      </c>
      <c r="C89" s="1">
        <v>45499</v>
      </c>
      <c r="D89">
        <v>2</v>
      </c>
      <c r="E89" t="s">
        <v>11</v>
      </c>
      <c r="F89" t="s">
        <v>15</v>
      </c>
      <c r="G89" t="s">
        <v>10</v>
      </c>
    </row>
    <row r="90" spans="1:7">
      <c r="A90">
        <v>89</v>
      </c>
      <c r="B90" s="1">
        <v>45500</v>
      </c>
      <c r="C90" s="1">
        <v>45501</v>
      </c>
      <c r="D90">
        <v>1</v>
      </c>
      <c r="E90" t="s">
        <v>8</v>
      </c>
      <c r="F90" t="s">
        <v>9</v>
      </c>
      <c r="G90" t="s">
        <v>10</v>
      </c>
    </row>
    <row r="91" spans="1:7">
      <c r="A91">
        <v>90</v>
      </c>
      <c r="B91" s="1">
        <v>45493</v>
      </c>
      <c r="C91" s="1">
        <v>45497</v>
      </c>
      <c r="D91">
        <v>4</v>
      </c>
      <c r="E91" t="s">
        <v>8</v>
      </c>
      <c r="F91" t="s">
        <v>9</v>
      </c>
      <c r="G91" t="s">
        <v>13</v>
      </c>
    </row>
    <row r="92" spans="1:7">
      <c r="A92">
        <v>91</v>
      </c>
      <c r="B92" s="1">
        <v>45499</v>
      </c>
      <c r="C92" s="1">
        <v>45504</v>
      </c>
      <c r="D92">
        <v>5</v>
      </c>
      <c r="E92" t="s">
        <v>11</v>
      </c>
      <c r="F92" t="s">
        <v>12</v>
      </c>
      <c r="G92" t="s">
        <v>13</v>
      </c>
    </row>
    <row r="93" spans="1:7">
      <c r="A93">
        <v>92</v>
      </c>
      <c r="B93" s="1">
        <v>45492</v>
      </c>
      <c r="C93" s="1">
        <v>45494</v>
      </c>
      <c r="D93">
        <v>2</v>
      </c>
      <c r="E93" t="s">
        <v>8</v>
      </c>
      <c r="F93" t="s">
        <v>15</v>
      </c>
      <c r="G93" t="s">
        <v>10</v>
      </c>
    </row>
    <row r="94" spans="1:7">
      <c r="A94">
        <v>93</v>
      </c>
      <c r="B94" s="1">
        <v>45501</v>
      </c>
      <c r="C94" s="1">
        <v>45505</v>
      </c>
      <c r="D94">
        <v>4</v>
      </c>
      <c r="E94" t="s">
        <v>11</v>
      </c>
      <c r="F94" t="s">
        <v>9</v>
      </c>
      <c r="G94" t="s">
        <v>13</v>
      </c>
    </row>
    <row r="95" spans="1:7">
      <c r="A95">
        <v>94</v>
      </c>
      <c r="B95" s="1">
        <v>45484</v>
      </c>
      <c r="C95" s="1">
        <v>45485</v>
      </c>
      <c r="D95">
        <v>1</v>
      </c>
      <c r="E95" t="s">
        <v>8</v>
      </c>
      <c r="F95" t="s">
        <v>12</v>
      </c>
      <c r="G95" t="s">
        <v>10</v>
      </c>
    </row>
    <row r="96" spans="1:7">
      <c r="A96">
        <v>95</v>
      </c>
      <c r="B96" s="1">
        <v>45480</v>
      </c>
      <c r="C96" s="1">
        <v>45482</v>
      </c>
      <c r="D96">
        <v>2</v>
      </c>
      <c r="E96" t="s">
        <v>14</v>
      </c>
      <c r="F96" t="s">
        <v>9</v>
      </c>
      <c r="G96" t="s">
        <v>10</v>
      </c>
    </row>
    <row r="97" spans="1:7">
      <c r="A97">
        <v>96</v>
      </c>
      <c r="B97" s="1">
        <v>45498</v>
      </c>
      <c r="C97" s="1">
        <v>45500</v>
      </c>
      <c r="D97">
        <v>2</v>
      </c>
      <c r="E97" t="s">
        <v>8</v>
      </c>
      <c r="F97" t="s">
        <v>12</v>
      </c>
      <c r="G97" t="s">
        <v>10</v>
      </c>
    </row>
    <row r="98" spans="1:7">
      <c r="A98">
        <v>97</v>
      </c>
      <c r="B98" s="1">
        <v>45485</v>
      </c>
      <c r="C98" s="1">
        <v>45489</v>
      </c>
      <c r="D98">
        <v>4</v>
      </c>
      <c r="E98" t="s">
        <v>8</v>
      </c>
      <c r="F98" t="s">
        <v>12</v>
      </c>
      <c r="G98" t="s">
        <v>13</v>
      </c>
    </row>
    <row r="99" spans="1:7">
      <c r="A99">
        <v>98</v>
      </c>
      <c r="B99" s="1">
        <v>45482</v>
      </c>
      <c r="C99" s="1">
        <v>45486</v>
      </c>
      <c r="D99">
        <v>4</v>
      </c>
      <c r="E99" t="s">
        <v>14</v>
      </c>
      <c r="F99" t="s">
        <v>12</v>
      </c>
      <c r="G99" t="s">
        <v>13</v>
      </c>
    </row>
    <row r="100" spans="1:7">
      <c r="A100">
        <v>99</v>
      </c>
      <c r="B100" s="1">
        <v>45476</v>
      </c>
      <c r="C100" s="1">
        <v>45480</v>
      </c>
      <c r="D100">
        <v>4</v>
      </c>
      <c r="E100" t="s">
        <v>11</v>
      </c>
      <c r="F100" t="s">
        <v>9</v>
      </c>
      <c r="G100" t="s">
        <v>13</v>
      </c>
    </row>
    <row r="101" spans="1:7">
      <c r="A101">
        <v>100</v>
      </c>
      <c r="B101" s="1">
        <v>45483</v>
      </c>
      <c r="C101" s="1">
        <v>45485</v>
      </c>
      <c r="D101">
        <v>2</v>
      </c>
      <c r="E101" t="s">
        <v>14</v>
      </c>
      <c r="F101" t="s">
        <v>12</v>
      </c>
      <c r="G101" t="s">
        <v>10</v>
      </c>
    </row>
    <row r="102" spans="1:7">
      <c r="A102">
        <v>101</v>
      </c>
      <c r="B102" s="1">
        <v>45496</v>
      </c>
      <c r="C102" s="1">
        <v>45497</v>
      </c>
      <c r="D102">
        <v>1</v>
      </c>
      <c r="E102" t="s">
        <v>11</v>
      </c>
      <c r="F102" t="s">
        <v>12</v>
      </c>
      <c r="G102" t="s">
        <v>10</v>
      </c>
    </row>
    <row r="103" spans="1:7">
      <c r="A103">
        <v>102</v>
      </c>
      <c r="B103" s="1">
        <v>45489</v>
      </c>
      <c r="C103" s="1">
        <v>45492</v>
      </c>
      <c r="D103">
        <v>3</v>
      </c>
      <c r="E103" t="s">
        <v>14</v>
      </c>
      <c r="F103" t="s">
        <v>9</v>
      </c>
      <c r="G103" t="s">
        <v>10</v>
      </c>
    </row>
    <row r="104" spans="1:7">
      <c r="A104">
        <v>103</v>
      </c>
      <c r="B104" s="1">
        <v>45488</v>
      </c>
      <c r="C104" s="1">
        <v>45491</v>
      </c>
      <c r="D104">
        <v>3</v>
      </c>
      <c r="E104" t="s">
        <v>14</v>
      </c>
      <c r="F104" t="s">
        <v>12</v>
      </c>
      <c r="G104" t="s">
        <v>10</v>
      </c>
    </row>
    <row r="105" spans="1:7">
      <c r="A105">
        <v>104</v>
      </c>
      <c r="B105" s="1">
        <v>45491</v>
      </c>
      <c r="C105" s="1">
        <v>45492</v>
      </c>
      <c r="D105">
        <v>1</v>
      </c>
      <c r="E105" t="s">
        <v>14</v>
      </c>
      <c r="F105" t="s">
        <v>12</v>
      </c>
      <c r="G105" t="s">
        <v>10</v>
      </c>
    </row>
    <row r="106" spans="1:7">
      <c r="A106">
        <v>105</v>
      </c>
      <c r="B106" s="1">
        <v>45491</v>
      </c>
      <c r="C106" s="1">
        <v>45492</v>
      </c>
      <c r="D106">
        <v>1</v>
      </c>
      <c r="E106" t="s">
        <v>8</v>
      </c>
      <c r="F106" t="s">
        <v>9</v>
      </c>
      <c r="G106" t="s">
        <v>10</v>
      </c>
    </row>
    <row r="107" spans="1:7">
      <c r="A107">
        <v>106</v>
      </c>
      <c r="B107" s="1">
        <v>45478</v>
      </c>
      <c r="C107" s="1">
        <v>45479</v>
      </c>
      <c r="D107">
        <v>1</v>
      </c>
      <c r="E107" t="s">
        <v>14</v>
      </c>
      <c r="F107" t="s">
        <v>9</v>
      </c>
      <c r="G107" t="s">
        <v>10</v>
      </c>
    </row>
    <row r="108" spans="1:7">
      <c r="A108">
        <v>107</v>
      </c>
      <c r="B108" s="1">
        <v>45502</v>
      </c>
      <c r="C108" s="1">
        <v>45504</v>
      </c>
      <c r="D108">
        <v>2</v>
      </c>
      <c r="E108" t="s">
        <v>11</v>
      </c>
      <c r="F108" t="s">
        <v>15</v>
      </c>
      <c r="G108" t="s">
        <v>10</v>
      </c>
    </row>
    <row r="109" spans="1:7">
      <c r="A109">
        <v>108</v>
      </c>
      <c r="B109" s="1">
        <v>45478</v>
      </c>
      <c r="C109" s="1">
        <v>45479</v>
      </c>
      <c r="D109">
        <v>1</v>
      </c>
      <c r="E109" t="s">
        <v>14</v>
      </c>
      <c r="F109" t="s">
        <v>12</v>
      </c>
      <c r="G109" t="s">
        <v>10</v>
      </c>
    </row>
    <row r="110" spans="1:7">
      <c r="A110">
        <v>109</v>
      </c>
      <c r="B110" s="1">
        <v>45499</v>
      </c>
      <c r="C110" s="1">
        <v>45503</v>
      </c>
      <c r="D110">
        <v>4</v>
      </c>
      <c r="E110" t="s">
        <v>11</v>
      </c>
      <c r="F110" t="s">
        <v>9</v>
      </c>
      <c r="G110" t="s">
        <v>13</v>
      </c>
    </row>
    <row r="111" spans="1:7">
      <c r="A111">
        <v>110</v>
      </c>
      <c r="B111" s="1">
        <v>45490</v>
      </c>
      <c r="C111" s="1">
        <v>45494</v>
      </c>
      <c r="D111">
        <v>4</v>
      </c>
      <c r="E111" t="s">
        <v>11</v>
      </c>
      <c r="F111" t="s">
        <v>9</v>
      </c>
      <c r="G111" t="s">
        <v>13</v>
      </c>
    </row>
    <row r="112" spans="1:7">
      <c r="A112">
        <v>111</v>
      </c>
      <c r="B112" s="1">
        <v>45474</v>
      </c>
      <c r="C112" s="1">
        <v>45477</v>
      </c>
      <c r="D112">
        <v>3</v>
      </c>
      <c r="E112" t="s">
        <v>11</v>
      </c>
      <c r="F112" t="s">
        <v>9</v>
      </c>
      <c r="G112" t="s">
        <v>10</v>
      </c>
    </row>
    <row r="113" spans="1:7">
      <c r="A113">
        <v>112</v>
      </c>
      <c r="B113" s="1">
        <v>45474</v>
      </c>
      <c r="C113" s="1">
        <v>45478</v>
      </c>
      <c r="D113">
        <v>4</v>
      </c>
      <c r="E113" t="s">
        <v>8</v>
      </c>
      <c r="F113" t="s">
        <v>15</v>
      </c>
      <c r="G113" t="s">
        <v>13</v>
      </c>
    </row>
    <row r="114" spans="1:7">
      <c r="A114">
        <v>113</v>
      </c>
      <c r="B114" s="1">
        <v>45490</v>
      </c>
      <c r="C114" s="1">
        <v>45494</v>
      </c>
      <c r="D114">
        <v>4</v>
      </c>
      <c r="E114" t="s">
        <v>14</v>
      </c>
      <c r="F114" t="s">
        <v>15</v>
      </c>
      <c r="G114" t="s">
        <v>13</v>
      </c>
    </row>
    <row r="115" spans="1:7">
      <c r="A115">
        <v>114</v>
      </c>
      <c r="B115" s="1">
        <v>45501</v>
      </c>
      <c r="C115" s="1">
        <v>45502</v>
      </c>
      <c r="D115">
        <v>1</v>
      </c>
      <c r="E115" t="s">
        <v>8</v>
      </c>
      <c r="F115" t="s">
        <v>12</v>
      </c>
      <c r="G115" t="s">
        <v>10</v>
      </c>
    </row>
    <row r="116" spans="1:7">
      <c r="A116">
        <v>115</v>
      </c>
      <c r="B116" s="1">
        <v>45493</v>
      </c>
      <c r="C116" s="1">
        <v>45498</v>
      </c>
      <c r="D116">
        <v>5</v>
      </c>
      <c r="E116" t="s">
        <v>11</v>
      </c>
      <c r="F116" t="s">
        <v>15</v>
      </c>
      <c r="G116" t="s">
        <v>13</v>
      </c>
    </row>
    <row r="117" spans="1:7">
      <c r="A117">
        <v>116</v>
      </c>
      <c r="B117" s="1">
        <v>45491</v>
      </c>
      <c r="C117" s="1">
        <v>45492</v>
      </c>
      <c r="D117">
        <v>1</v>
      </c>
      <c r="E117" t="s">
        <v>14</v>
      </c>
      <c r="F117" t="s">
        <v>9</v>
      </c>
      <c r="G117" t="s">
        <v>10</v>
      </c>
    </row>
    <row r="118" spans="1:7">
      <c r="A118">
        <v>117</v>
      </c>
      <c r="B118" s="1">
        <v>45487</v>
      </c>
      <c r="C118" s="1">
        <v>45491</v>
      </c>
      <c r="D118">
        <v>4</v>
      </c>
      <c r="E118" t="s">
        <v>14</v>
      </c>
      <c r="F118" t="s">
        <v>15</v>
      </c>
      <c r="G118" t="s">
        <v>13</v>
      </c>
    </row>
    <row r="119" spans="1:7">
      <c r="A119">
        <v>118</v>
      </c>
      <c r="B119" s="1">
        <v>45482</v>
      </c>
      <c r="C119" s="1">
        <v>45483</v>
      </c>
      <c r="D119">
        <v>1</v>
      </c>
      <c r="E119" t="s">
        <v>14</v>
      </c>
      <c r="F119" t="s">
        <v>12</v>
      </c>
      <c r="G119" t="s">
        <v>10</v>
      </c>
    </row>
    <row r="120" spans="1:7">
      <c r="A120">
        <v>119</v>
      </c>
      <c r="B120" s="1">
        <v>45489</v>
      </c>
      <c r="C120" s="1">
        <v>45492</v>
      </c>
      <c r="D120">
        <v>3</v>
      </c>
      <c r="E120" t="s">
        <v>8</v>
      </c>
      <c r="F120" t="s">
        <v>15</v>
      </c>
      <c r="G120" t="s">
        <v>10</v>
      </c>
    </row>
    <row r="121" spans="1:7">
      <c r="A121">
        <v>120</v>
      </c>
      <c r="B121" s="1">
        <v>45476</v>
      </c>
      <c r="C121" s="1">
        <v>45480</v>
      </c>
      <c r="D121">
        <v>4</v>
      </c>
      <c r="E121" t="s">
        <v>11</v>
      </c>
      <c r="F121" t="s">
        <v>9</v>
      </c>
      <c r="G121" t="s">
        <v>13</v>
      </c>
    </row>
    <row r="122" spans="1:7">
      <c r="A122">
        <v>121</v>
      </c>
      <c r="B122" s="1">
        <v>45487</v>
      </c>
      <c r="C122" s="1">
        <v>45489</v>
      </c>
      <c r="D122">
        <v>2</v>
      </c>
      <c r="E122" t="s">
        <v>8</v>
      </c>
      <c r="F122" t="s">
        <v>15</v>
      </c>
      <c r="G122" t="s">
        <v>10</v>
      </c>
    </row>
    <row r="123" spans="1:7">
      <c r="A123">
        <v>122</v>
      </c>
      <c r="B123" s="1">
        <v>45485</v>
      </c>
      <c r="C123" s="1">
        <v>45487</v>
      </c>
      <c r="D123">
        <v>2</v>
      </c>
      <c r="E123" t="s">
        <v>8</v>
      </c>
      <c r="F123" t="s">
        <v>9</v>
      </c>
      <c r="G123" t="s">
        <v>10</v>
      </c>
    </row>
    <row r="124" spans="1:7">
      <c r="A124">
        <v>123</v>
      </c>
      <c r="B124" s="1">
        <v>45482</v>
      </c>
      <c r="C124" s="1">
        <v>45487</v>
      </c>
      <c r="D124">
        <v>5</v>
      </c>
      <c r="E124" t="s">
        <v>14</v>
      </c>
      <c r="F124" t="s">
        <v>15</v>
      </c>
      <c r="G124" t="s">
        <v>13</v>
      </c>
    </row>
    <row r="125" spans="1:7">
      <c r="A125">
        <v>124</v>
      </c>
      <c r="B125" s="1">
        <v>45490</v>
      </c>
      <c r="C125" s="1">
        <v>45495</v>
      </c>
      <c r="D125">
        <v>5</v>
      </c>
      <c r="E125" t="s">
        <v>14</v>
      </c>
      <c r="F125" t="s">
        <v>9</v>
      </c>
      <c r="G125" t="s">
        <v>13</v>
      </c>
    </row>
    <row r="126" spans="1:7">
      <c r="A126">
        <v>125</v>
      </c>
      <c r="B126" s="1">
        <v>45497</v>
      </c>
      <c r="C126" s="1">
        <v>45502</v>
      </c>
      <c r="D126">
        <v>5</v>
      </c>
      <c r="E126" t="s">
        <v>8</v>
      </c>
      <c r="F126" t="s">
        <v>15</v>
      </c>
      <c r="G126" t="s">
        <v>13</v>
      </c>
    </row>
    <row r="127" spans="1:7">
      <c r="A127">
        <v>126</v>
      </c>
      <c r="B127" s="1">
        <v>45491</v>
      </c>
      <c r="C127" s="1">
        <v>45493</v>
      </c>
      <c r="D127">
        <v>2</v>
      </c>
      <c r="E127" t="s">
        <v>11</v>
      </c>
      <c r="F127" t="s">
        <v>9</v>
      </c>
      <c r="G127" t="s">
        <v>10</v>
      </c>
    </row>
    <row r="128" spans="1:7">
      <c r="A128">
        <v>127</v>
      </c>
      <c r="B128" s="1">
        <v>45481</v>
      </c>
      <c r="C128" s="1">
        <v>45484</v>
      </c>
      <c r="D128">
        <v>3</v>
      </c>
      <c r="E128" t="s">
        <v>11</v>
      </c>
      <c r="F128" t="s">
        <v>15</v>
      </c>
      <c r="G128" t="s">
        <v>10</v>
      </c>
    </row>
    <row r="129" spans="1:7">
      <c r="A129">
        <v>128</v>
      </c>
      <c r="B129" s="1">
        <v>45499</v>
      </c>
      <c r="C129" s="1">
        <v>45502</v>
      </c>
      <c r="D129">
        <v>3</v>
      </c>
      <c r="E129" t="s">
        <v>14</v>
      </c>
      <c r="F129" t="s">
        <v>15</v>
      </c>
      <c r="G129" t="s">
        <v>10</v>
      </c>
    </row>
    <row r="130" spans="1:7">
      <c r="A130">
        <v>129</v>
      </c>
      <c r="B130" s="1">
        <v>45477</v>
      </c>
      <c r="C130" s="1">
        <v>45481</v>
      </c>
      <c r="D130">
        <v>4</v>
      </c>
      <c r="E130" t="s">
        <v>8</v>
      </c>
      <c r="F130" t="s">
        <v>12</v>
      </c>
      <c r="G130" t="s">
        <v>13</v>
      </c>
    </row>
    <row r="131" spans="1:7">
      <c r="A131">
        <v>130</v>
      </c>
      <c r="B131" s="1">
        <v>45500</v>
      </c>
      <c r="C131" s="1">
        <v>45503</v>
      </c>
      <c r="D131">
        <v>3</v>
      </c>
      <c r="E131" t="s">
        <v>8</v>
      </c>
      <c r="F131" t="s">
        <v>12</v>
      </c>
      <c r="G131" t="s">
        <v>10</v>
      </c>
    </row>
    <row r="132" spans="1:7">
      <c r="A132">
        <v>131</v>
      </c>
      <c r="B132" s="1">
        <v>45486</v>
      </c>
      <c r="C132" s="1">
        <v>45487</v>
      </c>
      <c r="D132">
        <v>1</v>
      </c>
      <c r="E132" t="s">
        <v>11</v>
      </c>
      <c r="F132" t="s">
        <v>12</v>
      </c>
      <c r="G132" t="s">
        <v>10</v>
      </c>
    </row>
    <row r="133" spans="1:7">
      <c r="A133">
        <v>132</v>
      </c>
      <c r="B133" s="1">
        <v>45478</v>
      </c>
      <c r="C133" s="1">
        <v>45483</v>
      </c>
      <c r="D133">
        <v>5</v>
      </c>
      <c r="E133" t="s">
        <v>11</v>
      </c>
      <c r="F133" t="s">
        <v>9</v>
      </c>
      <c r="G133" t="s">
        <v>13</v>
      </c>
    </row>
    <row r="134" spans="1:7">
      <c r="A134">
        <v>133</v>
      </c>
      <c r="B134" s="1">
        <v>45483</v>
      </c>
      <c r="C134" s="1">
        <v>45487</v>
      </c>
      <c r="D134">
        <v>4</v>
      </c>
      <c r="E134" t="s">
        <v>11</v>
      </c>
      <c r="F134" t="s">
        <v>15</v>
      </c>
      <c r="G134" t="s">
        <v>13</v>
      </c>
    </row>
    <row r="135" spans="1:7">
      <c r="A135">
        <v>134</v>
      </c>
      <c r="B135" s="1">
        <v>45481</v>
      </c>
      <c r="C135" s="1">
        <v>45486</v>
      </c>
      <c r="D135">
        <v>5</v>
      </c>
      <c r="E135" t="s">
        <v>14</v>
      </c>
      <c r="F135" t="s">
        <v>9</v>
      </c>
      <c r="G135" t="s">
        <v>13</v>
      </c>
    </row>
    <row r="136" spans="1:7">
      <c r="A136">
        <v>135</v>
      </c>
      <c r="B136" s="1">
        <v>45486</v>
      </c>
      <c r="C136" s="1">
        <v>45490</v>
      </c>
      <c r="D136">
        <v>4</v>
      </c>
      <c r="E136" t="s">
        <v>8</v>
      </c>
      <c r="F136" t="s">
        <v>9</v>
      </c>
      <c r="G136" t="s">
        <v>13</v>
      </c>
    </row>
    <row r="137" spans="1:7">
      <c r="A137">
        <v>136</v>
      </c>
      <c r="B137" s="1">
        <v>45497</v>
      </c>
      <c r="C137" s="1">
        <v>45498</v>
      </c>
      <c r="D137">
        <v>1</v>
      </c>
      <c r="E137" t="s">
        <v>8</v>
      </c>
      <c r="F137" t="s">
        <v>15</v>
      </c>
      <c r="G137" t="s">
        <v>10</v>
      </c>
    </row>
    <row r="138" spans="1:7">
      <c r="A138">
        <v>137</v>
      </c>
      <c r="B138" s="1">
        <v>45502</v>
      </c>
      <c r="C138" s="1">
        <v>45504</v>
      </c>
      <c r="D138">
        <v>2</v>
      </c>
      <c r="E138" t="s">
        <v>11</v>
      </c>
      <c r="F138" t="s">
        <v>12</v>
      </c>
      <c r="G138" t="s">
        <v>10</v>
      </c>
    </row>
    <row r="139" spans="1:7">
      <c r="A139">
        <v>138</v>
      </c>
      <c r="B139" s="1">
        <v>45492</v>
      </c>
      <c r="C139" s="1">
        <v>45496</v>
      </c>
      <c r="D139">
        <v>4</v>
      </c>
      <c r="E139" t="s">
        <v>14</v>
      </c>
      <c r="F139" t="s">
        <v>15</v>
      </c>
      <c r="G139" t="s">
        <v>13</v>
      </c>
    </row>
    <row r="140" spans="1:7">
      <c r="A140">
        <v>139</v>
      </c>
      <c r="B140" s="1">
        <v>45491</v>
      </c>
      <c r="C140" s="1">
        <v>45496</v>
      </c>
      <c r="D140">
        <v>5</v>
      </c>
      <c r="E140" t="s">
        <v>14</v>
      </c>
      <c r="F140" t="s">
        <v>12</v>
      </c>
      <c r="G140" t="s">
        <v>13</v>
      </c>
    </row>
    <row r="141" spans="1:7">
      <c r="A141">
        <v>140</v>
      </c>
      <c r="B141" s="1">
        <v>45501</v>
      </c>
      <c r="C141" s="1">
        <v>45505</v>
      </c>
      <c r="D141">
        <v>4</v>
      </c>
      <c r="E141" t="s">
        <v>14</v>
      </c>
      <c r="F141" t="s">
        <v>15</v>
      </c>
      <c r="G141" t="s">
        <v>13</v>
      </c>
    </row>
    <row r="142" spans="1:7">
      <c r="A142">
        <v>141</v>
      </c>
      <c r="B142" s="1">
        <v>45476</v>
      </c>
      <c r="C142" s="1">
        <v>45478</v>
      </c>
      <c r="D142">
        <v>2</v>
      </c>
      <c r="E142" t="s">
        <v>14</v>
      </c>
      <c r="F142" t="s">
        <v>9</v>
      </c>
      <c r="G142" t="s">
        <v>10</v>
      </c>
    </row>
    <row r="143" spans="1:7">
      <c r="A143">
        <v>142</v>
      </c>
      <c r="B143" s="1">
        <v>45504</v>
      </c>
      <c r="C143" s="1">
        <v>45507</v>
      </c>
      <c r="D143">
        <v>3</v>
      </c>
      <c r="E143" t="s">
        <v>14</v>
      </c>
      <c r="F143" t="s">
        <v>9</v>
      </c>
      <c r="G143" t="s">
        <v>10</v>
      </c>
    </row>
    <row r="144" spans="1:7">
      <c r="A144">
        <v>143</v>
      </c>
      <c r="B144" s="1">
        <v>45480</v>
      </c>
      <c r="C144" s="1">
        <v>45485</v>
      </c>
      <c r="D144">
        <v>5</v>
      </c>
      <c r="E144" t="s">
        <v>11</v>
      </c>
      <c r="F144" t="s">
        <v>15</v>
      </c>
      <c r="G144" t="s">
        <v>13</v>
      </c>
    </row>
    <row r="145" spans="1:7">
      <c r="A145">
        <v>144</v>
      </c>
      <c r="B145" s="1">
        <v>45488</v>
      </c>
      <c r="C145" s="1">
        <v>45489</v>
      </c>
      <c r="D145">
        <v>1</v>
      </c>
      <c r="E145" t="s">
        <v>11</v>
      </c>
      <c r="F145" t="s">
        <v>9</v>
      </c>
      <c r="G145" t="s">
        <v>10</v>
      </c>
    </row>
    <row r="146" spans="1:7">
      <c r="A146">
        <v>145</v>
      </c>
      <c r="B146" s="1">
        <v>45488</v>
      </c>
      <c r="C146" s="1">
        <v>45491</v>
      </c>
      <c r="D146">
        <v>3</v>
      </c>
      <c r="E146" t="s">
        <v>11</v>
      </c>
      <c r="F146" t="s">
        <v>9</v>
      </c>
      <c r="G146" t="s">
        <v>10</v>
      </c>
    </row>
    <row r="147" spans="1:7">
      <c r="A147">
        <v>146</v>
      </c>
      <c r="B147" s="1">
        <v>45485</v>
      </c>
      <c r="C147" s="1">
        <v>45488</v>
      </c>
      <c r="D147">
        <v>3</v>
      </c>
      <c r="E147" t="s">
        <v>14</v>
      </c>
      <c r="F147" t="s">
        <v>12</v>
      </c>
      <c r="G147" t="s">
        <v>10</v>
      </c>
    </row>
    <row r="148" spans="1:7">
      <c r="A148">
        <v>147</v>
      </c>
      <c r="B148" s="1">
        <v>45495</v>
      </c>
      <c r="C148" s="1">
        <v>45496</v>
      </c>
      <c r="D148">
        <v>1</v>
      </c>
      <c r="E148" t="s">
        <v>11</v>
      </c>
      <c r="F148" t="s">
        <v>15</v>
      </c>
      <c r="G148" t="s">
        <v>10</v>
      </c>
    </row>
    <row r="149" spans="1:7">
      <c r="A149">
        <v>148</v>
      </c>
      <c r="B149" s="1">
        <v>45496</v>
      </c>
      <c r="C149" s="1">
        <v>45500</v>
      </c>
      <c r="D149">
        <v>4</v>
      </c>
      <c r="E149" t="s">
        <v>14</v>
      </c>
      <c r="F149" t="s">
        <v>12</v>
      </c>
      <c r="G149" t="s">
        <v>13</v>
      </c>
    </row>
    <row r="150" spans="1:7">
      <c r="A150">
        <v>149</v>
      </c>
      <c r="B150" s="1">
        <v>45501</v>
      </c>
      <c r="C150" s="1">
        <v>45504</v>
      </c>
      <c r="D150">
        <v>3</v>
      </c>
      <c r="E150" t="s">
        <v>14</v>
      </c>
      <c r="F150" t="s">
        <v>9</v>
      </c>
      <c r="G150" t="s">
        <v>10</v>
      </c>
    </row>
    <row r="151" spans="1:7">
      <c r="A151">
        <v>150</v>
      </c>
      <c r="B151" s="1">
        <v>45476</v>
      </c>
      <c r="C151" s="1">
        <v>45479</v>
      </c>
      <c r="D151">
        <v>3</v>
      </c>
      <c r="E151" t="s">
        <v>8</v>
      </c>
      <c r="F151" t="s">
        <v>12</v>
      </c>
      <c r="G151" t="s">
        <v>10</v>
      </c>
    </row>
    <row r="152" spans="1:7">
      <c r="A152">
        <v>151</v>
      </c>
      <c r="B152" s="1">
        <v>45486</v>
      </c>
      <c r="C152" s="1">
        <v>45490</v>
      </c>
      <c r="D152">
        <v>4</v>
      </c>
      <c r="E152" t="s">
        <v>11</v>
      </c>
      <c r="F152" t="s">
        <v>9</v>
      </c>
      <c r="G152" t="s">
        <v>13</v>
      </c>
    </row>
    <row r="153" spans="1:7">
      <c r="A153">
        <v>152</v>
      </c>
      <c r="B153" s="1">
        <v>45476</v>
      </c>
      <c r="C153" s="1">
        <v>45480</v>
      </c>
      <c r="D153">
        <v>4</v>
      </c>
      <c r="E153" t="s">
        <v>11</v>
      </c>
      <c r="F153" t="s">
        <v>12</v>
      </c>
      <c r="G153" t="s">
        <v>13</v>
      </c>
    </row>
    <row r="154" spans="1:7">
      <c r="A154">
        <v>153</v>
      </c>
      <c r="B154" s="1">
        <v>45497</v>
      </c>
      <c r="C154" s="1">
        <v>45499</v>
      </c>
      <c r="D154">
        <v>2</v>
      </c>
      <c r="E154" t="s">
        <v>8</v>
      </c>
      <c r="F154" t="s">
        <v>15</v>
      </c>
      <c r="G154" t="s">
        <v>10</v>
      </c>
    </row>
    <row r="155" spans="1:7">
      <c r="A155">
        <v>154</v>
      </c>
      <c r="B155" s="1">
        <v>45477</v>
      </c>
      <c r="C155" s="1">
        <v>45481</v>
      </c>
      <c r="D155">
        <v>4</v>
      </c>
      <c r="E155" t="s">
        <v>8</v>
      </c>
      <c r="F155" t="s">
        <v>9</v>
      </c>
      <c r="G155" t="s">
        <v>13</v>
      </c>
    </row>
    <row r="156" spans="1:7">
      <c r="A156">
        <v>155</v>
      </c>
      <c r="B156" s="1">
        <v>45503</v>
      </c>
      <c r="C156" s="1">
        <v>45506</v>
      </c>
      <c r="D156">
        <v>3</v>
      </c>
      <c r="E156" t="s">
        <v>8</v>
      </c>
      <c r="F156" t="s">
        <v>12</v>
      </c>
      <c r="G156" t="s">
        <v>10</v>
      </c>
    </row>
    <row r="157" spans="1:7">
      <c r="A157">
        <v>156</v>
      </c>
      <c r="B157" s="1">
        <v>45484</v>
      </c>
      <c r="C157" s="1">
        <v>45487</v>
      </c>
      <c r="D157">
        <v>3</v>
      </c>
      <c r="E157" t="s">
        <v>14</v>
      </c>
      <c r="F157" t="s">
        <v>9</v>
      </c>
      <c r="G157" t="s">
        <v>10</v>
      </c>
    </row>
    <row r="158" spans="1:7">
      <c r="A158">
        <v>157</v>
      </c>
      <c r="B158" s="1">
        <v>45500</v>
      </c>
      <c r="C158" s="1">
        <v>45502</v>
      </c>
      <c r="D158">
        <v>2</v>
      </c>
      <c r="E158" t="s">
        <v>14</v>
      </c>
      <c r="F158" t="s">
        <v>9</v>
      </c>
      <c r="G158" t="s">
        <v>10</v>
      </c>
    </row>
    <row r="159" spans="1:7">
      <c r="A159">
        <v>158</v>
      </c>
      <c r="B159" s="1">
        <v>45484</v>
      </c>
      <c r="C159" s="1">
        <v>45486</v>
      </c>
      <c r="D159">
        <v>2</v>
      </c>
      <c r="E159" t="s">
        <v>8</v>
      </c>
      <c r="F159" t="s">
        <v>15</v>
      </c>
      <c r="G159" t="s">
        <v>10</v>
      </c>
    </row>
    <row r="160" spans="1:7">
      <c r="A160">
        <v>159</v>
      </c>
      <c r="B160" s="1">
        <v>45500</v>
      </c>
      <c r="C160" s="1">
        <v>45501</v>
      </c>
      <c r="D160">
        <v>1</v>
      </c>
      <c r="E160" t="s">
        <v>11</v>
      </c>
      <c r="F160" t="s">
        <v>9</v>
      </c>
      <c r="G160" t="s">
        <v>10</v>
      </c>
    </row>
    <row r="161" spans="1:7">
      <c r="A161">
        <v>160</v>
      </c>
      <c r="B161" s="1">
        <v>45489</v>
      </c>
      <c r="C161" s="1">
        <v>45493</v>
      </c>
      <c r="D161">
        <v>4</v>
      </c>
      <c r="E161" t="s">
        <v>11</v>
      </c>
      <c r="F161" t="s">
        <v>12</v>
      </c>
      <c r="G161" t="s">
        <v>13</v>
      </c>
    </row>
    <row r="162" spans="1:7">
      <c r="A162">
        <v>161</v>
      </c>
      <c r="B162" s="1">
        <v>45490</v>
      </c>
      <c r="C162" s="1">
        <v>45491</v>
      </c>
      <c r="D162">
        <v>1</v>
      </c>
      <c r="E162" t="s">
        <v>14</v>
      </c>
      <c r="F162" t="s">
        <v>15</v>
      </c>
      <c r="G162" t="s">
        <v>10</v>
      </c>
    </row>
    <row r="163" spans="1:7">
      <c r="A163">
        <v>162</v>
      </c>
      <c r="B163" s="1">
        <v>45489</v>
      </c>
      <c r="C163" s="1">
        <v>45492</v>
      </c>
      <c r="D163">
        <v>3</v>
      </c>
      <c r="E163" t="s">
        <v>14</v>
      </c>
      <c r="F163" t="s">
        <v>12</v>
      </c>
      <c r="G163" t="s">
        <v>10</v>
      </c>
    </row>
    <row r="164" spans="1:7">
      <c r="A164">
        <v>163</v>
      </c>
      <c r="B164" s="1">
        <v>45485</v>
      </c>
      <c r="C164" s="1">
        <v>45487</v>
      </c>
      <c r="D164">
        <v>2</v>
      </c>
      <c r="E164" t="s">
        <v>11</v>
      </c>
      <c r="F164" t="s">
        <v>15</v>
      </c>
      <c r="G164" t="s">
        <v>10</v>
      </c>
    </row>
    <row r="165" spans="1:7">
      <c r="A165">
        <v>164</v>
      </c>
      <c r="B165" s="1">
        <v>45490</v>
      </c>
      <c r="C165" s="1">
        <v>45495</v>
      </c>
      <c r="D165">
        <v>5</v>
      </c>
      <c r="E165" t="s">
        <v>8</v>
      </c>
      <c r="F165" t="s">
        <v>12</v>
      </c>
      <c r="G165" t="s">
        <v>13</v>
      </c>
    </row>
    <row r="166" spans="1:7">
      <c r="A166">
        <v>165</v>
      </c>
      <c r="B166" s="1">
        <v>45479</v>
      </c>
      <c r="C166" s="1">
        <v>45481</v>
      </c>
      <c r="D166">
        <v>2</v>
      </c>
      <c r="E166" t="s">
        <v>14</v>
      </c>
      <c r="F166" t="s">
        <v>9</v>
      </c>
      <c r="G166" t="s">
        <v>10</v>
      </c>
    </row>
    <row r="167" spans="1:7">
      <c r="A167">
        <v>166</v>
      </c>
      <c r="B167" s="1">
        <v>45494</v>
      </c>
      <c r="C167" s="1">
        <v>45497</v>
      </c>
      <c r="D167">
        <v>3</v>
      </c>
      <c r="E167" t="s">
        <v>14</v>
      </c>
      <c r="F167" t="s">
        <v>15</v>
      </c>
      <c r="G167" t="s">
        <v>10</v>
      </c>
    </row>
    <row r="168" spans="1:7">
      <c r="A168">
        <v>167</v>
      </c>
      <c r="B168" s="1">
        <v>45489</v>
      </c>
      <c r="C168" s="1">
        <v>45492</v>
      </c>
      <c r="D168">
        <v>3</v>
      </c>
      <c r="E168" t="s">
        <v>8</v>
      </c>
      <c r="F168" t="s">
        <v>9</v>
      </c>
      <c r="G168" t="s">
        <v>10</v>
      </c>
    </row>
    <row r="169" spans="1:7">
      <c r="A169">
        <v>168</v>
      </c>
      <c r="B169" s="1">
        <v>45504</v>
      </c>
      <c r="C169" s="1">
        <v>45508</v>
      </c>
      <c r="D169">
        <v>4</v>
      </c>
      <c r="E169" t="s">
        <v>14</v>
      </c>
      <c r="F169" t="s">
        <v>9</v>
      </c>
      <c r="G169" t="s">
        <v>13</v>
      </c>
    </row>
    <row r="170" spans="1:7">
      <c r="A170">
        <v>169</v>
      </c>
      <c r="B170" s="1">
        <v>45501</v>
      </c>
      <c r="C170" s="1">
        <v>45502</v>
      </c>
      <c r="D170">
        <v>1</v>
      </c>
      <c r="E170" t="s">
        <v>14</v>
      </c>
      <c r="F170" t="s">
        <v>12</v>
      </c>
      <c r="G170" t="s">
        <v>10</v>
      </c>
    </row>
    <row r="171" spans="1:7">
      <c r="A171">
        <v>170</v>
      </c>
      <c r="B171" s="1">
        <v>45484</v>
      </c>
      <c r="C171" s="1">
        <v>45486</v>
      </c>
      <c r="D171">
        <v>2</v>
      </c>
      <c r="E171" t="s">
        <v>14</v>
      </c>
      <c r="F171" t="s">
        <v>9</v>
      </c>
      <c r="G171" t="s">
        <v>10</v>
      </c>
    </row>
    <row r="172" spans="1:7">
      <c r="A172">
        <v>171</v>
      </c>
      <c r="B172" s="1">
        <v>45499</v>
      </c>
      <c r="C172" s="1">
        <v>45500</v>
      </c>
      <c r="D172">
        <v>1</v>
      </c>
      <c r="E172" t="s">
        <v>8</v>
      </c>
      <c r="F172" t="s">
        <v>12</v>
      </c>
      <c r="G172" t="s">
        <v>10</v>
      </c>
    </row>
    <row r="173" spans="1:7">
      <c r="A173">
        <v>172</v>
      </c>
      <c r="B173" s="1">
        <v>45486</v>
      </c>
      <c r="C173" s="1">
        <v>45487</v>
      </c>
      <c r="D173">
        <v>1</v>
      </c>
      <c r="E173" t="s">
        <v>8</v>
      </c>
      <c r="F173" t="s">
        <v>15</v>
      </c>
      <c r="G173" t="s">
        <v>10</v>
      </c>
    </row>
    <row r="174" spans="1:7">
      <c r="A174">
        <v>173</v>
      </c>
      <c r="B174" s="1">
        <v>45493</v>
      </c>
      <c r="C174" s="1">
        <v>45497</v>
      </c>
      <c r="D174">
        <v>4</v>
      </c>
      <c r="E174" t="s">
        <v>11</v>
      </c>
      <c r="F174" t="s">
        <v>15</v>
      </c>
      <c r="G174" t="s">
        <v>13</v>
      </c>
    </row>
    <row r="175" spans="1:7">
      <c r="A175">
        <v>174</v>
      </c>
      <c r="B175" s="1">
        <v>45491</v>
      </c>
      <c r="C175" s="1">
        <v>45493</v>
      </c>
      <c r="D175">
        <v>2</v>
      </c>
      <c r="E175" t="s">
        <v>11</v>
      </c>
      <c r="F175" t="s">
        <v>15</v>
      </c>
      <c r="G175" t="s">
        <v>10</v>
      </c>
    </row>
    <row r="176" spans="1:7">
      <c r="A176">
        <v>175</v>
      </c>
      <c r="B176" s="1">
        <v>45497</v>
      </c>
      <c r="C176" s="1">
        <v>45502</v>
      </c>
      <c r="D176">
        <v>5</v>
      </c>
      <c r="E176" t="s">
        <v>11</v>
      </c>
      <c r="F176" t="s">
        <v>9</v>
      </c>
      <c r="G176" t="s">
        <v>13</v>
      </c>
    </row>
    <row r="177" spans="1:7">
      <c r="A177">
        <v>176</v>
      </c>
      <c r="B177" s="1">
        <v>45490</v>
      </c>
      <c r="C177" s="1">
        <v>45493</v>
      </c>
      <c r="D177">
        <v>3</v>
      </c>
      <c r="E177" t="s">
        <v>8</v>
      </c>
      <c r="F177" t="s">
        <v>12</v>
      </c>
      <c r="G177" t="s">
        <v>10</v>
      </c>
    </row>
    <row r="178" spans="1:7">
      <c r="A178">
        <v>177</v>
      </c>
      <c r="B178" s="1">
        <v>45500</v>
      </c>
      <c r="C178" s="1">
        <v>45504</v>
      </c>
      <c r="D178">
        <v>4</v>
      </c>
      <c r="E178" t="s">
        <v>14</v>
      </c>
      <c r="F178" t="s">
        <v>9</v>
      </c>
      <c r="G178" t="s">
        <v>13</v>
      </c>
    </row>
    <row r="179" spans="1:7">
      <c r="A179">
        <v>178</v>
      </c>
      <c r="B179" s="1">
        <v>45496</v>
      </c>
      <c r="C179" s="1">
        <v>45498</v>
      </c>
      <c r="D179">
        <v>2</v>
      </c>
      <c r="E179" t="s">
        <v>11</v>
      </c>
      <c r="F179" t="s">
        <v>15</v>
      </c>
      <c r="G179" t="s">
        <v>10</v>
      </c>
    </row>
    <row r="180" spans="1:7">
      <c r="A180">
        <v>179</v>
      </c>
      <c r="B180" s="1">
        <v>45482</v>
      </c>
      <c r="C180" s="1">
        <v>45487</v>
      </c>
      <c r="D180">
        <v>5</v>
      </c>
      <c r="E180" t="s">
        <v>8</v>
      </c>
      <c r="F180" t="s">
        <v>12</v>
      </c>
      <c r="G180" t="s">
        <v>13</v>
      </c>
    </row>
    <row r="181" spans="1:7">
      <c r="A181">
        <v>180</v>
      </c>
      <c r="B181" s="1">
        <v>45504</v>
      </c>
      <c r="C181" s="1">
        <v>45509</v>
      </c>
      <c r="D181">
        <v>5</v>
      </c>
      <c r="E181" t="s">
        <v>8</v>
      </c>
      <c r="F181" t="s">
        <v>9</v>
      </c>
      <c r="G181" t="s">
        <v>13</v>
      </c>
    </row>
    <row r="182" spans="1:7">
      <c r="A182">
        <v>181</v>
      </c>
      <c r="B182" s="1">
        <v>45501</v>
      </c>
      <c r="C182" s="1">
        <v>45504</v>
      </c>
      <c r="D182">
        <v>3</v>
      </c>
      <c r="E182" t="s">
        <v>8</v>
      </c>
      <c r="F182" t="s">
        <v>15</v>
      </c>
      <c r="G182" t="s">
        <v>10</v>
      </c>
    </row>
    <row r="183" spans="1:7">
      <c r="A183">
        <v>182</v>
      </c>
      <c r="B183" s="1">
        <v>45486</v>
      </c>
      <c r="C183" s="1">
        <v>45489</v>
      </c>
      <c r="D183">
        <v>3</v>
      </c>
      <c r="E183" t="s">
        <v>14</v>
      </c>
      <c r="F183" t="s">
        <v>9</v>
      </c>
      <c r="G183" t="s">
        <v>10</v>
      </c>
    </row>
    <row r="184" spans="1:7">
      <c r="A184">
        <v>183</v>
      </c>
      <c r="B184" s="1">
        <v>45479</v>
      </c>
      <c r="C184" s="1">
        <v>45484</v>
      </c>
      <c r="D184">
        <v>5</v>
      </c>
      <c r="E184" t="s">
        <v>8</v>
      </c>
      <c r="F184" t="s">
        <v>9</v>
      </c>
      <c r="G184" t="s">
        <v>13</v>
      </c>
    </row>
    <row r="185" spans="1:7">
      <c r="A185">
        <v>184</v>
      </c>
      <c r="B185" s="1">
        <v>45497</v>
      </c>
      <c r="C185" s="1">
        <v>45498</v>
      </c>
      <c r="D185">
        <v>1</v>
      </c>
      <c r="E185" t="s">
        <v>8</v>
      </c>
      <c r="F185" t="s">
        <v>9</v>
      </c>
      <c r="G185" t="s">
        <v>10</v>
      </c>
    </row>
    <row r="186" spans="1:7">
      <c r="A186">
        <v>185</v>
      </c>
      <c r="B186" s="1">
        <v>45482</v>
      </c>
      <c r="C186" s="1">
        <v>45483</v>
      </c>
      <c r="D186">
        <v>1</v>
      </c>
      <c r="E186" t="s">
        <v>11</v>
      </c>
      <c r="F186" t="s">
        <v>15</v>
      </c>
      <c r="G186" t="s">
        <v>10</v>
      </c>
    </row>
    <row r="187" spans="1:7">
      <c r="A187">
        <v>186</v>
      </c>
      <c r="B187" s="1">
        <v>45489</v>
      </c>
      <c r="C187" s="1">
        <v>45490</v>
      </c>
      <c r="D187">
        <v>1</v>
      </c>
      <c r="E187" t="s">
        <v>11</v>
      </c>
      <c r="F187" t="s">
        <v>15</v>
      </c>
      <c r="G187" t="s">
        <v>10</v>
      </c>
    </row>
    <row r="188" spans="1:7">
      <c r="A188">
        <v>187</v>
      </c>
      <c r="B188" s="1">
        <v>45495</v>
      </c>
      <c r="C188" s="1">
        <v>45497</v>
      </c>
      <c r="D188">
        <v>2</v>
      </c>
      <c r="E188" t="s">
        <v>8</v>
      </c>
      <c r="F188" t="s">
        <v>15</v>
      </c>
      <c r="G188" t="s">
        <v>10</v>
      </c>
    </row>
    <row r="189" spans="1:7">
      <c r="A189">
        <v>188</v>
      </c>
      <c r="B189" s="1">
        <v>45476</v>
      </c>
      <c r="C189" s="1">
        <v>45477</v>
      </c>
      <c r="D189">
        <v>1</v>
      </c>
      <c r="E189" t="s">
        <v>8</v>
      </c>
      <c r="F189" t="s">
        <v>12</v>
      </c>
      <c r="G189" t="s">
        <v>10</v>
      </c>
    </row>
    <row r="190" spans="1:7">
      <c r="A190">
        <v>189</v>
      </c>
      <c r="B190" s="1">
        <v>45481</v>
      </c>
      <c r="C190" s="1">
        <v>45486</v>
      </c>
      <c r="D190">
        <v>5</v>
      </c>
      <c r="E190" t="s">
        <v>14</v>
      </c>
      <c r="F190" t="s">
        <v>15</v>
      </c>
      <c r="G190" t="s">
        <v>13</v>
      </c>
    </row>
    <row r="191" spans="1:7">
      <c r="A191">
        <v>190</v>
      </c>
      <c r="B191" s="1">
        <v>45487</v>
      </c>
      <c r="C191" s="1">
        <v>45490</v>
      </c>
      <c r="D191">
        <v>3</v>
      </c>
      <c r="E191" t="s">
        <v>14</v>
      </c>
      <c r="F191" t="s">
        <v>9</v>
      </c>
      <c r="G191" t="s">
        <v>10</v>
      </c>
    </row>
    <row r="192" spans="1:7">
      <c r="A192">
        <v>191</v>
      </c>
      <c r="B192" s="1">
        <v>45500</v>
      </c>
      <c r="C192" s="1">
        <v>45503</v>
      </c>
      <c r="D192">
        <v>3</v>
      </c>
      <c r="E192" t="s">
        <v>14</v>
      </c>
      <c r="F192" t="s">
        <v>12</v>
      </c>
      <c r="G192" t="s">
        <v>10</v>
      </c>
    </row>
    <row r="193" spans="1:7">
      <c r="A193">
        <v>192</v>
      </c>
      <c r="B193" s="1">
        <v>45487</v>
      </c>
      <c r="C193" s="1">
        <v>45489</v>
      </c>
      <c r="D193">
        <v>2</v>
      </c>
      <c r="E193" t="s">
        <v>11</v>
      </c>
      <c r="F193" t="s">
        <v>9</v>
      </c>
      <c r="G193" t="s">
        <v>10</v>
      </c>
    </row>
    <row r="194" spans="1:7">
      <c r="A194">
        <v>193</v>
      </c>
      <c r="B194" s="1">
        <v>45481</v>
      </c>
      <c r="C194" s="1">
        <v>45486</v>
      </c>
      <c r="D194">
        <v>5</v>
      </c>
      <c r="E194" t="s">
        <v>8</v>
      </c>
      <c r="F194" t="s">
        <v>9</v>
      </c>
      <c r="G194" t="s">
        <v>13</v>
      </c>
    </row>
    <row r="195" spans="1:7">
      <c r="A195">
        <v>194</v>
      </c>
      <c r="B195" s="1">
        <v>45504</v>
      </c>
      <c r="C195" s="1">
        <v>45505</v>
      </c>
      <c r="D195">
        <v>1</v>
      </c>
      <c r="E195" t="s">
        <v>11</v>
      </c>
      <c r="F195" t="s">
        <v>9</v>
      </c>
      <c r="G195" t="s">
        <v>10</v>
      </c>
    </row>
    <row r="196" spans="1:7">
      <c r="A196">
        <v>195</v>
      </c>
      <c r="B196" s="1">
        <v>45491</v>
      </c>
      <c r="C196" s="1">
        <v>45494</v>
      </c>
      <c r="D196">
        <v>3</v>
      </c>
      <c r="E196" t="s">
        <v>11</v>
      </c>
      <c r="F196" t="s">
        <v>9</v>
      </c>
      <c r="G196" t="s">
        <v>10</v>
      </c>
    </row>
    <row r="197" spans="1:7">
      <c r="A197">
        <v>196</v>
      </c>
      <c r="B197" s="1">
        <v>45492</v>
      </c>
      <c r="C197" s="1">
        <v>45495</v>
      </c>
      <c r="D197">
        <v>3</v>
      </c>
      <c r="E197" t="s">
        <v>8</v>
      </c>
      <c r="F197" t="s">
        <v>15</v>
      </c>
      <c r="G197" t="s">
        <v>10</v>
      </c>
    </row>
    <row r="198" spans="1:7">
      <c r="A198">
        <v>197</v>
      </c>
      <c r="B198" s="1">
        <v>45504</v>
      </c>
      <c r="C198" s="1">
        <v>45507</v>
      </c>
      <c r="D198">
        <v>3</v>
      </c>
      <c r="E198" t="s">
        <v>14</v>
      </c>
      <c r="F198" t="s">
        <v>9</v>
      </c>
      <c r="G198" t="s">
        <v>10</v>
      </c>
    </row>
    <row r="199" spans="1:7">
      <c r="A199">
        <v>198</v>
      </c>
      <c r="B199" s="1">
        <v>45500</v>
      </c>
      <c r="C199" s="1">
        <v>45501</v>
      </c>
      <c r="D199">
        <v>1</v>
      </c>
      <c r="E199" t="s">
        <v>8</v>
      </c>
      <c r="F199" t="s">
        <v>15</v>
      </c>
      <c r="G199" t="s">
        <v>10</v>
      </c>
    </row>
    <row r="200" spans="1:7">
      <c r="A200">
        <v>199</v>
      </c>
      <c r="B200" s="1">
        <v>45497</v>
      </c>
      <c r="C200" s="1">
        <v>45499</v>
      </c>
      <c r="D200">
        <v>2</v>
      </c>
      <c r="E200" t="s">
        <v>8</v>
      </c>
      <c r="F200" t="s">
        <v>9</v>
      </c>
      <c r="G200" t="s">
        <v>10</v>
      </c>
    </row>
    <row r="201" spans="1:7">
      <c r="A201">
        <v>200</v>
      </c>
      <c r="B201" s="1">
        <v>45503</v>
      </c>
      <c r="C201" s="1">
        <v>45505</v>
      </c>
      <c r="D201">
        <v>2</v>
      </c>
      <c r="E201" t="s">
        <v>14</v>
      </c>
      <c r="F201" t="s">
        <v>9</v>
      </c>
      <c r="G201" t="s">
        <v>10</v>
      </c>
    </row>
    <row r="202" spans="1:7">
      <c r="A202">
        <v>201</v>
      </c>
      <c r="B202" s="1">
        <v>45503</v>
      </c>
      <c r="C202" s="1">
        <v>45505</v>
      </c>
      <c r="D202">
        <v>2</v>
      </c>
      <c r="E202" t="s">
        <v>8</v>
      </c>
      <c r="F202" t="s">
        <v>9</v>
      </c>
      <c r="G202" t="s">
        <v>10</v>
      </c>
    </row>
    <row r="203" spans="1:7">
      <c r="A203">
        <v>202</v>
      </c>
      <c r="B203" s="1">
        <v>45504</v>
      </c>
      <c r="C203" s="1">
        <v>45507</v>
      </c>
      <c r="D203">
        <v>3</v>
      </c>
      <c r="E203" t="s">
        <v>14</v>
      </c>
      <c r="F203" t="s">
        <v>15</v>
      </c>
      <c r="G203" t="s">
        <v>10</v>
      </c>
    </row>
    <row r="204" spans="1:7">
      <c r="A204">
        <v>203</v>
      </c>
      <c r="B204" s="1">
        <v>45478</v>
      </c>
      <c r="C204" s="1">
        <v>45480</v>
      </c>
      <c r="D204">
        <v>2</v>
      </c>
      <c r="E204" t="s">
        <v>11</v>
      </c>
      <c r="F204" t="s">
        <v>9</v>
      </c>
      <c r="G204" t="s">
        <v>10</v>
      </c>
    </row>
    <row r="205" spans="1:7">
      <c r="A205">
        <v>204</v>
      </c>
      <c r="B205" s="1">
        <v>45479</v>
      </c>
      <c r="C205" s="1">
        <v>45480</v>
      </c>
      <c r="D205">
        <v>1</v>
      </c>
      <c r="E205" t="s">
        <v>14</v>
      </c>
      <c r="F205" t="s">
        <v>12</v>
      </c>
      <c r="G205" t="s">
        <v>10</v>
      </c>
    </row>
    <row r="206" spans="1:7">
      <c r="A206">
        <v>205</v>
      </c>
      <c r="B206" s="1">
        <v>45486</v>
      </c>
      <c r="C206" s="1">
        <v>45487</v>
      </c>
      <c r="D206">
        <v>1</v>
      </c>
      <c r="E206" t="s">
        <v>11</v>
      </c>
      <c r="F206" t="s">
        <v>9</v>
      </c>
      <c r="G206" t="s">
        <v>10</v>
      </c>
    </row>
    <row r="207" spans="1:7">
      <c r="A207">
        <v>206</v>
      </c>
      <c r="B207" s="1">
        <v>45482</v>
      </c>
      <c r="C207" s="1">
        <v>45486</v>
      </c>
      <c r="D207">
        <v>4</v>
      </c>
      <c r="E207" t="s">
        <v>11</v>
      </c>
      <c r="F207" t="s">
        <v>12</v>
      </c>
      <c r="G207" t="s">
        <v>13</v>
      </c>
    </row>
    <row r="208" spans="1:7">
      <c r="A208">
        <v>207</v>
      </c>
      <c r="B208" s="1">
        <v>45480</v>
      </c>
      <c r="C208" s="1">
        <v>45483</v>
      </c>
      <c r="D208">
        <v>3</v>
      </c>
      <c r="E208" t="s">
        <v>8</v>
      </c>
      <c r="F208" t="s">
        <v>9</v>
      </c>
      <c r="G208" t="s">
        <v>10</v>
      </c>
    </row>
    <row r="209" spans="1:7">
      <c r="A209">
        <v>208</v>
      </c>
      <c r="B209" s="1">
        <v>45481</v>
      </c>
      <c r="C209" s="1">
        <v>45486</v>
      </c>
      <c r="D209">
        <v>5</v>
      </c>
      <c r="E209" t="s">
        <v>11</v>
      </c>
      <c r="F209" t="s">
        <v>15</v>
      </c>
      <c r="G209" t="s">
        <v>13</v>
      </c>
    </row>
    <row r="210" spans="1:7">
      <c r="A210">
        <v>209</v>
      </c>
      <c r="B210" s="1">
        <v>45493</v>
      </c>
      <c r="C210" s="1">
        <v>45497</v>
      </c>
      <c r="D210">
        <v>4</v>
      </c>
      <c r="E210" t="s">
        <v>14</v>
      </c>
      <c r="F210" t="s">
        <v>12</v>
      </c>
      <c r="G210" t="s">
        <v>13</v>
      </c>
    </row>
    <row r="211" spans="1:7">
      <c r="A211">
        <v>210</v>
      </c>
      <c r="B211" s="1">
        <v>45474</v>
      </c>
      <c r="C211" s="1">
        <v>45478</v>
      </c>
      <c r="D211">
        <v>4</v>
      </c>
      <c r="E211" t="s">
        <v>8</v>
      </c>
      <c r="F211" t="s">
        <v>15</v>
      </c>
      <c r="G211" t="s">
        <v>13</v>
      </c>
    </row>
    <row r="212" spans="1:7">
      <c r="A212">
        <v>211</v>
      </c>
      <c r="B212" s="1">
        <v>45485</v>
      </c>
      <c r="C212" s="1">
        <v>45486</v>
      </c>
      <c r="D212">
        <v>1</v>
      </c>
      <c r="E212" t="s">
        <v>8</v>
      </c>
      <c r="F212" t="s">
        <v>12</v>
      </c>
      <c r="G212" t="s">
        <v>10</v>
      </c>
    </row>
    <row r="213" spans="1:7">
      <c r="A213">
        <v>212</v>
      </c>
      <c r="B213" s="1">
        <v>45499</v>
      </c>
      <c r="C213" s="1">
        <v>45500</v>
      </c>
      <c r="D213">
        <v>1</v>
      </c>
      <c r="E213" t="s">
        <v>11</v>
      </c>
      <c r="F213" t="s">
        <v>12</v>
      </c>
      <c r="G213" t="s">
        <v>10</v>
      </c>
    </row>
    <row r="214" spans="1:7">
      <c r="A214">
        <v>213</v>
      </c>
      <c r="B214" s="1">
        <v>45480</v>
      </c>
      <c r="C214" s="1">
        <v>45485</v>
      </c>
      <c r="D214">
        <v>5</v>
      </c>
      <c r="E214" t="s">
        <v>14</v>
      </c>
      <c r="F214" t="s">
        <v>9</v>
      </c>
      <c r="G214" t="s">
        <v>13</v>
      </c>
    </row>
    <row r="215" spans="1:7">
      <c r="A215">
        <v>214</v>
      </c>
      <c r="B215" s="1">
        <v>45494</v>
      </c>
      <c r="C215" s="1">
        <v>45496</v>
      </c>
      <c r="D215">
        <v>2</v>
      </c>
      <c r="E215" t="s">
        <v>11</v>
      </c>
      <c r="F215" t="s">
        <v>12</v>
      </c>
      <c r="G215" t="s">
        <v>10</v>
      </c>
    </row>
    <row r="216" spans="1:7">
      <c r="A216">
        <v>215</v>
      </c>
      <c r="B216" s="1">
        <v>45475</v>
      </c>
      <c r="C216" s="1">
        <v>45477</v>
      </c>
      <c r="D216">
        <v>2</v>
      </c>
      <c r="E216" t="s">
        <v>11</v>
      </c>
      <c r="F216" t="s">
        <v>9</v>
      </c>
      <c r="G216" t="s">
        <v>10</v>
      </c>
    </row>
    <row r="217" spans="1:7">
      <c r="A217">
        <v>216</v>
      </c>
      <c r="B217" s="1">
        <v>45484</v>
      </c>
      <c r="C217" s="1">
        <v>45489</v>
      </c>
      <c r="D217">
        <v>5</v>
      </c>
      <c r="E217" t="s">
        <v>14</v>
      </c>
      <c r="F217" t="s">
        <v>12</v>
      </c>
      <c r="G217" t="s">
        <v>13</v>
      </c>
    </row>
    <row r="218" spans="1:7">
      <c r="A218">
        <v>217</v>
      </c>
      <c r="B218" s="1">
        <v>45486</v>
      </c>
      <c r="C218" s="1">
        <v>45488</v>
      </c>
      <c r="D218">
        <v>2</v>
      </c>
      <c r="E218" t="s">
        <v>14</v>
      </c>
      <c r="F218" t="s">
        <v>12</v>
      </c>
      <c r="G218" t="s">
        <v>10</v>
      </c>
    </row>
    <row r="219" spans="1:7">
      <c r="A219">
        <v>218</v>
      </c>
      <c r="B219" s="1">
        <v>45487</v>
      </c>
      <c r="C219" s="1">
        <v>45490</v>
      </c>
      <c r="D219">
        <v>3</v>
      </c>
      <c r="E219" t="s">
        <v>11</v>
      </c>
      <c r="F219" t="s">
        <v>15</v>
      </c>
      <c r="G219" t="s">
        <v>10</v>
      </c>
    </row>
    <row r="220" spans="1:7">
      <c r="A220">
        <v>219</v>
      </c>
      <c r="B220" s="1">
        <v>45475</v>
      </c>
      <c r="C220" s="1">
        <v>45477</v>
      </c>
      <c r="D220">
        <v>2</v>
      </c>
      <c r="E220" t="s">
        <v>11</v>
      </c>
      <c r="F220" t="s">
        <v>12</v>
      </c>
      <c r="G220" t="s">
        <v>10</v>
      </c>
    </row>
    <row r="221" spans="1:7">
      <c r="A221">
        <v>220</v>
      </c>
      <c r="B221" s="1">
        <v>45478</v>
      </c>
      <c r="C221" s="1">
        <v>45479</v>
      </c>
      <c r="D221">
        <v>1</v>
      </c>
      <c r="E221" t="s">
        <v>14</v>
      </c>
      <c r="F221" t="s">
        <v>12</v>
      </c>
      <c r="G221" t="s">
        <v>10</v>
      </c>
    </row>
    <row r="222" spans="1:7">
      <c r="A222">
        <v>221</v>
      </c>
      <c r="B222" s="1">
        <v>45490</v>
      </c>
      <c r="C222" s="1">
        <v>45492</v>
      </c>
      <c r="D222">
        <v>2</v>
      </c>
      <c r="E222" t="s">
        <v>8</v>
      </c>
      <c r="F222" t="s">
        <v>12</v>
      </c>
      <c r="G222" t="s">
        <v>10</v>
      </c>
    </row>
    <row r="223" spans="1:7">
      <c r="A223">
        <v>222</v>
      </c>
      <c r="B223" s="1">
        <v>45494</v>
      </c>
      <c r="C223" s="1">
        <v>45495</v>
      </c>
      <c r="D223">
        <v>1</v>
      </c>
      <c r="E223" t="s">
        <v>14</v>
      </c>
      <c r="F223" t="s">
        <v>15</v>
      </c>
      <c r="G223" t="s">
        <v>10</v>
      </c>
    </row>
    <row r="224" spans="1:7">
      <c r="A224">
        <v>223</v>
      </c>
      <c r="B224" s="1">
        <v>45497</v>
      </c>
      <c r="C224" s="1">
        <v>45499</v>
      </c>
      <c r="D224">
        <v>2</v>
      </c>
      <c r="E224" t="s">
        <v>11</v>
      </c>
      <c r="F224" t="s">
        <v>9</v>
      </c>
      <c r="G224" t="s">
        <v>10</v>
      </c>
    </row>
    <row r="225" spans="1:7">
      <c r="A225">
        <v>224</v>
      </c>
      <c r="B225" s="1">
        <v>45476</v>
      </c>
      <c r="C225" s="1">
        <v>45480</v>
      </c>
      <c r="D225">
        <v>4</v>
      </c>
      <c r="E225" t="s">
        <v>8</v>
      </c>
      <c r="F225" t="s">
        <v>12</v>
      </c>
      <c r="G225" t="s">
        <v>13</v>
      </c>
    </row>
    <row r="226" spans="1:7">
      <c r="A226">
        <v>225</v>
      </c>
      <c r="B226" s="1">
        <v>45475</v>
      </c>
      <c r="C226" s="1">
        <v>45479</v>
      </c>
      <c r="D226">
        <v>4</v>
      </c>
      <c r="E226" t="s">
        <v>8</v>
      </c>
      <c r="F226" t="s">
        <v>9</v>
      </c>
      <c r="G226" t="s">
        <v>13</v>
      </c>
    </row>
    <row r="227" spans="1:7">
      <c r="A227">
        <v>226</v>
      </c>
      <c r="B227" s="1">
        <v>45503</v>
      </c>
      <c r="C227" s="1">
        <v>45505</v>
      </c>
      <c r="D227">
        <v>2</v>
      </c>
      <c r="E227" t="s">
        <v>11</v>
      </c>
      <c r="F227" t="s">
        <v>9</v>
      </c>
      <c r="G227" t="s">
        <v>10</v>
      </c>
    </row>
    <row r="228" spans="1:7">
      <c r="A228">
        <v>227</v>
      </c>
      <c r="B228" s="1">
        <v>45501</v>
      </c>
      <c r="C228" s="1">
        <v>45506</v>
      </c>
      <c r="D228">
        <v>5</v>
      </c>
      <c r="E228" t="s">
        <v>11</v>
      </c>
      <c r="F228" t="s">
        <v>15</v>
      </c>
      <c r="G228" t="s">
        <v>13</v>
      </c>
    </row>
    <row r="229" spans="1:7">
      <c r="A229">
        <v>228</v>
      </c>
      <c r="B229" s="1">
        <v>45499</v>
      </c>
      <c r="C229" s="1">
        <v>45503</v>
      </c>
      <c r="D229">
        <v>4</v>
      </c>
      <c r="E229" t="s">
        <v>8</v>
      </c>
      <c r="F229" t="s">
        <v>9</v>
      </c>
      <c r="G229" t="s">
        <v>13</v>
      </c>
    </row>
    <row r="230" spans="1:7">
      <c r="A230">
        <v>229</v>
      </c>
      <c r="B230" s="1">
        <v>45503</v>
      </c>
      <c r="C230" s="1">
        <v>45507</v>
      </c>
      <c r="D230">
        <v>4</v>
      </c>
      <c r="E230" t="s">
        <v>11</v>
      </c>
      <c r="F230" t="s">
        <v>12</v>
      </c>
      <c r="G230" t="s">
        <v>13</v>
      </c>
    </row>
    <row r="231" spans="1:7">
      <c r="A231">
        <v>230</v>
      </c>
      <c r="B231" s="1">
        <v>45490</v>
      </c>
      <c r="C231" s="1">
        <v>45494</v>
      </c>
      <c r="D231">
        <v>4</v>
      </c>
      <c r="E231" t="s">
        <v>14</v>
      </c>
      <c r="F231" t="s">
        <v>12</v>
      </c>
      <c r="G231" t="s">
        <v>13</v>
      </c>
    </row>
    <row r="232" spans="1:7">
      <c r="A232">
        <v>231</v>
      </c>
      <c r="B232" s="1">
        <v>45486</v>
      </c>
      <c r="C232" s="1">
        <v>45491</v>
      </c>
      <c r="D232">
        <v>5</v>
      </c>
      <c r="E232" t="s">
        <v>14</v>
      </c>
      <c r="F232" t="s">
        <v>9</v>
      </c>
      <c r="G232" t="s">
        <v>13</v>
      </c>
    </row>
    <row r="233" spans="1:7">
      <c r="A233">
        <v>232</v>
      </c>
      <c r="B233" s="1">
        <v>45488</v>
      </c>
      <c r="C233" s="1">
        <v>45490</v>
      </c>
      <c r="D233">
        <v>2</v>
      </c>
      <c r="E233" t="s">
        <v>14</v>
      </c>
      <c r="F233" t="s">
        <v>12</v>
      </c>
      <c r="G233" t="s">
        <v>10</v>
      </c>
    </row>
    <row r="234" spans="1:7">
      <c r="A234">
        <v>233</v>
      </c>
      <c r="B234" s="1">
        <v>45503</v>
      </c>
      <c r="C234" s="1">
        <v>45504</v>
      </c>
      <c r="D234">
        <v>1</v>
      </c>
      <c r="E234" t="s">
        <v>14</v>
      </c>
      <c r="F234" t="s">
        <v>9</v>
      </c>
      <c r="G234" t="s">
        <v>10</v>
      </c>
    </row>
    <row r="235" spans="1:7">
      <c r="A235">
        <v>234</v>
      </c>
      <c r="B235" s="1">
        <v>45494</v>
      </c>
      <c r="C235" s="1">
        <v>45495</v>
      </c>
      <c r="D235">
        <v>1</v>
      </c>
      <c r="E235" t="s">
        <v>11</v>
      </c>
      <c r="F235" t="s">
        <v>12</v>
      </c>
      <c r="G235" t="s">
        <v>10</v>
      </c>
    </row>
    <row r="236" spans="1:7">
      <c r="A236">
        <v>235</v>
      </c>
      <c r="B236" s="1">
        <v>45495</v>
      </c>
      <c r="C236" s="1">
        <v>45500</v>
      </c>
      <c r="D236">
        <v>5</v>
      </c>
      <c r="E236" t="s">
        <v>14</v>
      </c>
      <c r="F236" t="s">
        <v>9</v>
      </c>
      <c r="G236" t="s">
        <v>13</v>
      </c>
    </row>
    <row r="237" spans="1:7">
      <c r="A237">
        <v>236</v>
      </c>
      <c r="B237" s="1">
        <v>45497</v>
      </c>
      <c r="C237" s="1">
        <v>45502</v>
      </c>
      <c r="D237">
        <v>5</v>
      </c>
      <c r="E237" t="s">
        <v>8</v>
      </c>
      <c r="F237" t="s">
        <v>9</v>
      </c>
      <c r="G237" t="s">
        <v>13</v>
      </c>
    </row>
    <row r="238" spans="1:7">
      <c r="A238">
        <v>237</v>
      </c>
      <c r="B238" s="1">
        <v>45501</v>
      </c>
      <c r="C238" s="1">
        <v>45503</v>
      </c>
      <c r="D238">
        <v>2</v>
      </c>
      <c r="E238" t="s">
        <v>8</v>
      </c>
      <c r="F238" t="s">
        <v>12</v>
      </c>
      <c r="G238" t="s">
        <v>10</v>
      </c>
    </row>
    <row r="239" spans="1:7">
      <c r="A239">
        <v>238</v>
      </c>
      <c r="B239" s="1">
        <v>45484</v>
      </c>
      <c r="C239" s="1">
        <v>45488</v>
      </c>
      <c r="D239">
        <v>4</v>
      </c>
      <c r="E239" t="s">
        <v>11</v>
      </c>
      <c r="F239" t="s">
        <v>12</v>
      </c>
      <c r="G239" t="s">
        <v>13</v>
      </c>
    </row>
    <row r="240" spans="1:7">
      <c r="A240">
        <v>239</v>
      </c>
      <c r="B240" s="1">
        <v>45479</v>
      </c>
      <c r="C240" s="1">
        <v>45484</v>
      </c>
      <c r="D240">
        <v>5</v>
      </c>
      <c r="E240" t="s">
        <v>14</v>
      </c>
      <c r="F240" t="s">
        <v>9</v>
      </c>
      <c r="G240" t="s">
        <v>13</v>
      </c>
    </row>
    <row r="241" spans="1:7">
      <c r="A241">
        <v>240</v>
      </c>
      <c r="B241" s="1">
        <v>45490</v>
      </c>
      <c r="C241" s="1">
        <v>45494</v>
      </c>
      <c r="D241">
        <v>4</v>
      </c>
      <c r="E241" t="s">
        <v>8</v>
      </c>
      <c r="F241" t="s">
        <v>12</v>
      </c>
      <c r="G241" t="s">
        <v>13</v>
      </c>
    </row>
    <row r="242" spans="1:7">
      <c r="A242">
        <v>241</v>
      </c>
      <c r="B242" s="1">
        <v>45488</v>
      </c>
      <c r="C242" s="1">
        <v>45491</v>
      </c>
      <c r="D242">
        <v>3</v>
      </c>
      <c r="E242" t="s">
        <v>8</v>
      </c>
      <c r="F242" t="s">
        <v>15</v>
      </c>
      <c r="G242" t="s">
        <v>10</v>
      </c>
    </row>
    <row r="243" spans="1:7">
      <c r="A243">
        <v>242</v>
      </c>
      <c r="B243" s="1">
        <v>45484</v>
      </c>
      <c r="C243" s="1">
        <v>45489</v>
      </c>
      <c r="D243">
        <v>5</v>
      </c>
      <c r="E243" t="s">
        <v>11</v>
      </c>
      <c r="F243" t="s">
        <v>9</v>
      </c>
      <c r="G243" t="s">
        <v>13</v>
      </c>
    </row>
    <row r="244" spans="1:7">
      <c r="A244">
        <v>243</v>
      </c>
      <c r="B244" s="1">
        <v>45484</v>
      </c>
      <c r="C244" s="1">
        <v>45489</v>
      </c>
      <c r="D244">
        <v>5</v>
      </c>
      <c r="E244" t="s">
        <v>14</v>
      </c>
      <c r="F244" t="s">
        <v>15</v>
      </c>
      <c r="G244" t="s">
        <v>13</v>
      </c>
    </row>
    <row r="245" spans="1:7">
      <c r="A245">
        <v>244</v>
      </c>
      <c r="B245" s="1">
        <v>45498</v>
      </c>
      <c r="C245" s="1">
        <v>45499</v>
      </c>
      <c r="D245">
        <v>1</v>
      </c>
      <c r="E245" t="s">
        <v>11</v>
      </c>
      <c r="F245" t="s">
        <v>9</v>
      </c>
      <c r="G245" t="s">
        <v>10</v>
      </c>
    </row>
    <row r="246" spans="1:7">
      <c r="A246">
        <v>245</v>
      </c>
      <c r="B246" s="1">
        <v>45500</v>
      </c>
      <c r="C246" s="1">
        <v>45501</v>
      </c>
      <c r="D246">
        <v>1</v>
      </c>
      <c r="E246" t="s">
        <v>14</v>
      </c>
      <c r="F246" t="s">
        <v>12</v>
      </c>
      <c r="G246" t="s">
        <v>10</v>
      </c>
    </row>
    <row r="247" spans="1:7">
      <c r="A247">
        <v>246</v>
      </c>
      <c r="B247" s="1">
        <v>45474</v>
      </c>
      <c r="C247" s="1">
        <v>45478</v>
      </c>
      <c r="D247">
        <v>4</v>
      </c>
      <c r="E247" t="s">
        <v>8</v>
      </c>
      <c r="F247" t="s">
        <v>9</v>
      </c>
      <c r="G247" t="s">
        <v>13</v>
      </c>
    </row>
    <row r="248" spans="1:7">
      <c r="A248">
        <v>247</v>
      </c>
      <c r="B248" s="1">
        <v>45492</v>
      </c>
      <c r="C248" s="1">
        <v>45494</v>
      </c>
      <c r="D248">
        <v>2</v>
      </c>
      <c r="E248" t="s">
        <v>8</v>
      </c>
      <c r="F248" t="s">
        <v>9</v>
      </c>
      <c r="G248" t="s">
        <v>10</v>
      </c>
    </row>
    <row r="249" spans="1:7">
      <c r="A249">
        <v>248</v>
      </c>
      <c r="B249" s="1">
        <v>45498</v>
      </c>
      <c r="C249" s="1">
        <v>45503</v>
      </c>
      <c r="D249">
        <v>5</v>
      </c>
      <c r="E249" t="s">
        <v>11</v>
      </c>
      <c r="F249" t="s">
        <v>9</v>
      </c>
      <c r="G249" t="s">
        <v>13</v>
      </c>
    </row>
    <row r="250" spans="1:7">
      <c r="A250">
        <v>249</v>
      </c>
      <c r="B250" s="1">
        <v>45499</v>
      </c>
      <c r="C250" s="1">
        <v>45500</v>
      </c>
      <c r="D250">
        <v>1</v>
      </c>
      <c r="E250" t="s">
        <v>11</v>
      </c>
      <c r="F250" t="s">
        <v>15</v>
      </c>
      <c r="G250" t="s">
        <v>10</v>
      </c>
    </row>
    <row r="251" spans="1:7">
      <c r="A251">
        <v>250</v>
      </c>
      <c r="B251" s="1">
        <v>45501</v>
      </c>
      <c r="C251" s="1">
        <v>45502</v>
      </c>
      <c r="D251">
        <v>1</v>
      </c>
      <c r="E251" t="s">
        <v>14</v>
      </c>
      <c r="F251" t="s">
        <v>12</v>
      </c>
      <c r="G251" t="s">
        <v>10</v>
      </c>
    </row>
    <row r="252" spans="1:7">
      <c r="A252">
        <v>251</v>
      </c>
      <c r="B252" s="1">
        <v>45480</v>
      </c>
      <c r="C252" s="1">
        <v>45482</v>
      </c>
      <c r="D252">
        <v>2</v>
      </c>
      <c r="E252" t="s">
        <v>11</v>
      </c>
      <c r="F252" t="s">
        <v>9</v>
      </c>
      <c r="G252" t="s">
        <v>10</v>
      </c>
    </row>
    <row r="253" spans="1:7">
      <c r="A253">
        <v>252</v>
      </c>
      <c r="B253" s="1">
        <v>45491</v>
      </c>
      <c r="C253" s="1">
        <v>45492</v>
      </c>
      <c r="D253">
        <v>1</v>
      </c>
      <c r="E253" t="s">
        <v>14</v>
      </c>
      <c r="F253" t="s">
        <v>12</v>
      </c>
      <c r="G253" t="s">
        <v>10</v>
      </c>
    </row>
    <row r="254" spans="1:7">
      <c r="A254">
        <v>253</v>
      </c>
      <c r="B254" s="1">
        <v>45478</v>
      </c>
      <c r="C254" s="1">
        <v>45483</v>
      </c>
      <c r="D254">
        <v>5</v>
      </c>
      <c r="E254" t="s">
        <v>14</v>
      </c>
      <c r="F254" t="s">
        <v>15</v>
      </c>
      <c r="G254" t="s">
        <v>13</v>
      </c>
    </row>
    <row r="255" spans="1:7">
      <c r="A255">
        <v>254</v>
      </c>
      <c r="B255" s="1">
        <v>45500</v>
      </c>
      <c r="C255" s="1">
        <v>45503</v>
      </c>
      <c r="D255">
        <v>3</v>
      </c>
      <c r="E255" t="s">
        <v>8</v>
      </c>
      <c r="F255" t="s">
        <v>12</v>
      </c>
      <c r="G255" t="s">
        <v>10</v>
      </c>
    </row>
    <row r="256" spans="1:7">
      <c r="A256">
        <v>255</v>
      </c>
      <c r="B256" s="1">
        <v>45478</v>
      </c>
      <c r="C256" s="1">
        <v>45483</v>
      </c>
      <c r="D256">
        <v>5</v>
      </c>
      <c r="E256" t="s">
        <v>14</v>
      </c>
      <c r="F256" t="s">
        <v>15</v>
      </c>
      <c r="G256" t="s">
        <v>13</v>
      </c>
    </row>
    <row r="257" spans="1:7">
      <c r="A257">
        <v>256</v>
      </c>
      <c r="B257" s="1">
        <v>45479</v>
      </c>
      <c r="C257" s="1">
        <v>45483</v>
      </c>
      <c r="D257">
        <v>4</v>
      </c>
      <c r="E257" t="s">
        <v>8</v>
      </c>
      <c r="F257" t="s">
        <v>12</v>
      </c>
      <c r="G257" t="s">
        <v>13</v>
      </c>
    </row>
    <row r="258" spans="1:7">
      <c r="A258">
        <v>257</v>
      </c>
      <c r="B258" s="1">
        <v>45489</v>
      </c>
      <c r="C258" s="1">
        <v>45493</v>
      </c>
      <c r="D258">
        <v>4</v>
      </c>
      <c r="E258" t="s">
        <v>11</v>
      </c>
      <c r="F258" t="s">
        <v>12</v>
      </c>
      <c r="G258" t="s">
        <v>13</v>
      </c>
    </row>
    <row r="259" spans="1:7">
      <c r="A259">
        <v>258</v>
      </c>
      <c r="B259" s="1">
        <v>45474</v>
      </c>
      <c r="C259" s="1">
        <v>45478</v>
      </c>
      <c r="D259">
        <v>4</v>
      </c>
      <c r="E259" t="s">
        <v>14</v>
      </c>
      <c r="F259" t="s">
        <v>12</v>
      </c>
      <c r="G259" t="s">
        <v>13</v>
      </c>
    </row>
    <row r="260" spans="1:7">
      <c r="A260">
        <v>259</v>
      </c>
      <c r="B260" s="1">
        <v>45487</v>
      </c>
      <c r="C260" s="1">
        <v>45490</v>
      </c>
      <c r="D260">
        <v>3</v>
      </c>
      <c r="E260" t="s">
        <v>8</v>
      </c>
      <c r="F260" t="s">
        <v>12</v>
      </c>
      <c r="G260" t="s">
        <v>10</v>
      </c>
    </row>
    <row r="261" spans="1:7">
      <c r="A261">
        <v>260</v>
      </c>
      <c r="B261" s="1">
        <v>45479</v>
      </c>
      <c r="C261" s="1">
        <v>45484</v>
      </c>
      <c r="D261">
        <v>5</v>
      </c>
      <c r="E261" t="s">
        <v>11</v>
      </c>
      <c r="F261" t="s">
        <v>9</v>
      </c>
      <c r="G261" t="s">
        <v>13</v>
      </c>
    </row>
    <row r="262" spans="1:7">
      <c r="A262">
        <v>261</v>
      </c>
      <c r="B262" s="1">
        <v>45493</v>
      </c>
      <c r="C262" s="1">
        <v>45495</v>
      </c>
      <c r="D262">
        <v>2</v>
      </c>
      <c r="E262" t="s">
        <v>11</v>
      </c>
      <c r="F262" t="s">
        <v>12</v>
      </c>
      <c r="G262" t="s">
        <v>10</v>
      </c>
    </row>
    <row r="263" spans="1:7">
      <c r="A263">
        <v>262</v>
      </c>
      <c r="B263" s="1">
        <v>45484</v>
      </c>
      <c r="C263" s="1">
        <v>45489</v>
      </c>
      <c r="D263">
        <v>5</v>
      </c>
      <c r="E263" t="s">
        <v>8</v>
      </c>
      <c r="F263" t="s">
        <v>9</v>
      </c>
      <c r="G263" t="s">
        <v>13</v>
      </c>
    </row>
    <row r="264" spans="1:7">
      <c r="A264">
        <v>263</v>
      </c>
      <c r="B264" s="1">
        <v>45503</v>
      </c>
      <c r="C264" s="1">
        <v>45508</v>
      </c>
      <c r="D264">
        <v>5</v>
      </c>
      <c r="E264" t="s">
        <v>14</v>
      </c>
      <c r="F264" t="s">
        <v>15</v>
      </c>
      <c r="G264" t="s">
        <v>13</v>
      </c>
    </row>
    <row r="265" spans="1:7">
      <c r="A265">
        <v>264</v>
      </c>
      <c r="B265" s="1">
        <v>45476</v>
      </c>
      <c r="C265" s="1">
        <v>45477</v>
      </c>
      <c r="D265">
        <v>1</v>
      </c>
      <c r="E265" t="s">
        <v>14</v>
      </c>
      <c r="F265" t="s">
        <v>15</v>
      </c>
      <c r="G265" t="s">
        <v>10</v>
      </c>
    </row>
    <row r="266" spans="1:7">
      <c r="A266">
        <v>265</v>
      </c>
      <c r="B266" s="1">
        <v>45501</v>
      </c>
      <c r="C266" s="1">
        <v>45503</v>
      </c>
      <c r="D266">
        <v>2</v>
      </c>
      <c r="E266" t="s">
        <v>8</v>
      </c>
      <c r="F266" t="s">
        <v>9</v>
      </c>
      <c r="G266" t="s">
        <v>10</v>
      </c>
    </row>
    <row r="267" spans="1:7">
      <c r="A267">
        <v>266</v>
      </c>
      <c r="B267" s="1">
        <v>45497</v>
      </c>
      <c r="C267" s="1">
        <v>45499</v>
      </c>
      <c r="D267">
        <v>2</v>
      </c>
      <c r="E267" t="s">
        <v>11</v>
      </c>
      <c r="F267" t="s">
        <v>12</v>
      </c>
      <c r="G267" t="s">
        <v>10</v>
      </c>
    </row>
    <row r="268" spans="1:7">
      <c r="A268">
        <v>267</v>
      </c>
      <c r="B268" s="1">
        <v>45497</v>
      </c>
      <c r="C268" s="1">
        <v>45500</v>
      </c>
      <c r="D268">
        <v>3</v>
      </c>
      <c r="E268" t="s">
        <v>8</v>
      </c>
      <c r="F268" t="s">
        <v>12</v>
      </c>
      <c r="G268" t="s">
        <v>10</v>
      </c>
    </row>
    <row r="269" spans="1:7">
      <c r="A269">
        <v>268</v>
      </c>
      <c r="B269" s="1">
        <v>45501</v>
      </c>
      <c r="C269" s="1">
        <v>45502</v>
      </c>
      <c r="D269">
        <v>1</v>
      </c>
      <c r="E269" t="s">
        <v>11</v>
      </c>
      <c r="F269" t="s">
        <v>9</v>
      </c>
      <c r="G269" t="s">
        <v>10</v>
      </c>
    </row>
    <row r="270" spans="1:7">
      <c r="A270">
        <v>269</v>
      </c>
      <c r="B270" s="1">
        <v>45480</v>
      </c>
      <c r="C270" s="1">
        <v>45485</v>
      </c>
      <c r="D270">
        <v>5</v>
      </c>
      <c r="E270" t="s">
        <v>11</v>
      </c>
      <c r="F270" t="s">
        <v>15</v>
      </c>
      <c r="G270" t="s">
        <v>13</v>
      </c>
    </row>
    <row r="271" spans="1:7">
      <c r="A271">
        <v>270</v>
      </c>
      <c r="B271" s="1">
        <v>45475</v>
      </c>
      <c r="C271" s="1">
        <v>45480</v>
      </c>
      <c r="D271">
        <v>5</v>
      </c>
      <c r="E271" t="s">
        <v>11</v>
      </c>
      <c r="F271" t="s">
        <v>15</v>
      </c>
      <c r="G271" t="s">
        <v>13</v>
      </c>
    </row>
    <row r="272" spans="1:7">
      <c r="A272">
        <v>271</v>
      </c>
      <c r="B272" s="1">
        <v>45485</v>
      </c>
      <c r="C272" s="1">
        <v>45486</v>
      </c>
      <c r="D272">
        <v>1</v>
      </c>
      <c r="E272" t="s">
        <v>8</v>
      </c>
      <c r="F272" t="s">
        <v>15</v>
      </c>
      <c r="G272" t="s">
        <v>10</v>
      </c>
    </row>
    <row r="273" spans="1:7">
      <c r="A273">
        <v>272</v>
      </c>
      <c r="B273" s="1">
        <v>45488</v>
      </c>
      <c r="C273" s="1">
        <v>45491</v>
      </c>
      <c r="D273">
        <v>3</v>
      </c>
      <c r="E273" t="s">
        <v>8</v>
      </c>
      <c r="F273" t="s">
        <v>15</v>
      </c>
      <c r="G273" t="s">
        <v>10</v>
      </c>
    </row>
    <row r="274" spans="1:7">
      <c r="A274">
        <v>273</v>
      </c>
      <c r="B274" s="1">
        <v>45498</v>
      </c>
      <c r="C274" s="1">
        <v>45503</v>
      </c>
      <c r="D274">
        <v>5</v>
      </c>
      <c r="E274" t="s">
        <v>8</v>
      </c>
      <c r="F274" t="s">
        <v>12</v>
      </c>
      <c r="G274" t="s">
        <v>13</v>
      </c>
    </row>
    <row r="275" spans="1:7">
      <c r="A275">
        <v>274</v>
      </c>
      <c r="B275" s="1">
        <v>45491</v>
      </c>
      <c r="C275" s="1">
        <v>45493</v>
      </c>
      <c r="D275">
        <v>2</v>
      </c>
      <c r="E275" t="s">
        <v>8</v>
      </c>
      <c r="F275" t="s">
        <v>12</v>
      </c>
      <c r="G275" t="s">
        <v>10</v>
      </c>
    </row>
    <row r="276" spans="1:7">
      <c r="A276">
        <v>275</v>
      </c>
      <c r="B276" s="1">
        <v>45475</v>
      </c>
      <c r="C276" s="1">
        <v>45477</v>
      </c>
      <c r="D276">
        <v>2</v>
      </c>
      <c r="E276" t="s">
        <v>8</v>
      </c>
      <c r="F276" t="s">
        <v>12</v>
      </c>
      <c r="G276" t="s">
        <v>10</v>
      </c>
    </row>
    <row r="277" spans="1:7">
      <c r="A277">
        <v>276</v>
      </c>
      <c r="B277" s="1">
        <v>45474</v>
      </c>
      <c r="C277" s="1">
        <v>45478</v>
      </c>
      <c r="D277">
        <v>4</v>
      </c>
      <c r="E277" t="s">
        <v>14</v>
      </c>
      <c r="F277" t="s">
        <v>12</v>
      </c>
      <c r="G277" t="s">
        <v>13</v>
      </c>
    </row>
    <row r="278" spans="1:7">
      <c r="A278">
        <v>277</v>
      </c>
      <c r="B278" s="1">
        <v>45478</v>
      </c>
      <c r="C278" s="1">
        <v>45483</v>
      </c>
      <c r="D278">
        <v>5</v>
      </c>
      <c r="E278" t="s">
        <v>8</v>
      </c>
      <c r="F278" t="s">
        <v>12</v>
      </c>
      <c r="G278" t="s">
        <v>13</v>
      </c>
    </row>
    <row r="279" spans="1:7">
      <c r="A279">
        <v>278</v>
      </c>
      <c r="B279" s="1">
        <v>45492</v>
      </c>
      <c r="C279" s="1">
        <v>45494</v>
      </c>
      <c r="D279">
        <v>2</v>
      </c>
      <c r="E279" t="s">
        <v>11</v>
      </c>
      <c r="F279" t="s">
        <v>12</v>
      </c>
      <c r="G279" t="s">
        <v>10</v>
      </c>
    </row>
    <row r="280" spans="1:7">
      <c r="A280">
        <v>279</v>
      </c>
      <c r="B280" s="1">
        <v>45476</v>
      </c>
      <c r="C280" s="1">
        <v>45480</v>
      </c>
      <c r="D280">
        <v>4</v>
      </c>
      <c r="E280" t="s">
        <v>14</v>
      </c>
      <c r="F280" t="s">
        <v>15</v>
      </c>
      <c r="G280" t="s">
        <v>13</v>
      </c>
    </row>
    <row r="281" spans="1:7">
      <c r="A281">
        <v>280</v>
      </c>
      <c r="B281" s="1">
        <v>45486</v>
      </c>
      <c r="C281" s="1">
        <v>45488</v>
      </c>
      <c r="D281">
        <v>2</v>
      </c>
      <c r="E281" t="s">
        <v>14</v>
      </c>
      <c r="F281" t="s">
        <v>15</v>
      </c>
      <c r="G281" t="s">
        <v>10</v>
      </c>
    </row>
    <row r="282" spans="1:7">
      <c r="A282">
        <v>281</v>
      </c>
      <c r="B282" s="1">
        <v>45493</v>
      </c>
      <c r="C282" s="1">
        <v>45496</v>
      </c>
      <c r="D282">
        <v>3</v>
      </c>
      <c r="E282" t="s">
        <v>11</v>
      </c>
      <c r="F282" t="s">
        <v>12</v>
      </c>
      <c r="G282" t="s">
        <v>10</v>
      </c>
    </row>
    <row r="283" spans="1:7">
      <c r="A283">
        <v>282</v>
      </c>
      <c r="B283" s="1">
        <v>45494</v>
      </c>
      <c r="C283" s="1">
        <v>45499</v>
      </c>
      <c r="D283">
        <v>5</v>
      </c>
      <c r="E283" t="s">
        <v>14</v>
      </c>
      <c r="F283" t="s">
        <v>15</v>
      </c>
      <c r="G283" t="s">
        <v>13</v>
      </c>
    </row>
    <row r="284" spans="1:7">
      <c r="A284">
        <v>283</v>
      </c>
      <c r="B284" s="1">
        <v>45474</v>
      </c>
      <c r="C284" s="1">
        <v>45477</v>
      </c>
      <c r="D284">
        <v>3</v>
      </c>
      <c r="E284" t="s">
        <v>11</v>
      </c>
      <c r="F284" t="s">
        <v>9</v>
      </c>
      <c r="G284" t="s">
        <v>10</v>
      </c>
    </row>
    <row r="285" spans="1:7">
      <c r="A285">
        <v>284</v>
      </c>
      <c r="B285" s="1">
        <v>45480</v>
      </c>
      <c r="C285" s="1">
        <v>45481</v>
      </c>
      <c r="D285">
        <v>1</v>
      </c>
      <c r="E285" t="s">
        <v>14</v>
      </c>
      <c r="F285" t="s">
        <v>15</v>
      </c>
      <c r="G285" t="s">
        <v>10</v>
      </c>
    </row>
    <row r="286" spans="1:7">
      <c r="A286">
        <v>285</v>
      </c>
      <c r="B286" s="1">
        <v>45474</v>
      </c>
      <c r="C286" s="1">
        <v>45475</v>
      </c>
      <c r="D286">
        <v>1</v>
      </c>
      <c r="E286" t="s">
        <v>8</v>
      </c>
      <c r="F286" t="s">
        <v>9</v>
      </c>
      <c r="G286" t="s">
        <v>10</v>
      </c>
    </row>
    <row r="287" spans="1:7">
      <c r="A287">
        <v>286</v>
      </c>
      <c r="B287" s="1">
        <v>45495</v>
      </c>
      <c r="C287" s="1">
        <v>45500</v>
      </c>
      <c r="D287">
        <v>5</v>
      </c>
      <c r="E287" t="s">
        <v>11</v>
      </c>
      <c r="F287" t="s">
        <v>15</v>
      </c>
      <c r="G287" t="s">
        <v>13</v>
      </c>
    </row>
    <row r="288" spans="1:7">
      <c r="A288">
        <v>287</v>
      </c>
      <c r="B288" s="1">
        <v>45488</v>
      </c>
      <c r="C288" s="1">
        <v>45493</v>
      </c>
      <c r="D288">
        <v>5</v>
      </c>
      <c r="E288" t="s">
        <v>14</v>
      </c>
      <c r="F288" t="s">
        <v>15</v>
      </c>
      <c r="G288" t="s">
        <v>13</v>
      </c>
    </row>
    <row r="289" spans="1:7">
      <c r="A289">
        <v>288</v>
      </c>
      <c r="B289" s="1">
        <v>45492</v>
      </c>
      <c r="C289" s="1">
        <v>45497</v>
      </c>
      <c r="D289">
        <v>5</v>
      </c>
      <c r="E289" t="s">
        <v>11</v>
      </c>
      <c r="F289" t="s">
        <v>15</v>
      </c>
      <c r="G289" t="s">
        <v>13</v>
      </c>
    </row>
    <row r="290" spans="1:7">
      <c r="A290">
        <v>289</v>
      </c>
      <c r="B290" s="1">
        <v>45499</v>
      </c>
      <c r="C290" s="1">
        <v>45502</v>
      </c>
      <c r="D290">
        <v>3</v>
      </c>
      <c r="E290" t="s">
        <v>11</v>
      </c>
      <c r="F290" t="s">
        <v>15</v>
      </c>
      <c r="G290" t="s">
        <v>10</v>
      </c>
    </row>
    <row r="291" spans="1:7">
      <c r="A291">
        <v>290</v>
      </c>
      <c r="B291" s="1">
        <v>45478</v>
      </c>
      <c r="C291" s="1">
        <v>45479</v>
      </c>
      <c r="D291">
        <v>1</v>
      </c>
      <c r="E291" t="s">
        <v>8</v>
      </c>
      <c r="F291" t="s">
        <v>9</v>
      </c>
      <c r="G291" t="s">
        <v>10</v>
      </c>
    </row>
    <row r="292" spans="1:7">
      <c r="A292">
        <v>291</v>
      </c>
      <c r="B292" s="1">
        <v>45502</v>
      </c>
      <c r="C292" s="1">
        <v>45503</v>
      </c>
      <c r="D292">
        <v>1</v>
      </c>
      <c r="E292" t="s">
        <v>14</v>
      </c>
      <c r="F292" t="s">
        <v>9</v>
      </c>
      <c r="G292" t="s">
        <v>10</v>
      </c>
    </row>
    <row r="293" spans="1:7">
      <c r="A293">
        <v>292</v>
      </c>
      <c r="B293" s="1">
        <v>45482</v>
      </c>
      <c r="C293" s="1">
        <v>45487</v>
      </c>
      <c r="D293">
        <v>5</v>
      </c>
      <c r="E293" t="s">
        <v>11</v>
      </c>
      <c r="F293" t="s">
        <v>9</v>
      </c>
      <c r="G293" t="s">
        <v>13</v>
      </c>
    </row>
    <row r="294" spans="1:7">
      <c r="A294">
        <v>293</v>
      </c>
      <c r="B294" s="1">
        <v>45501</v>
      </c>
      <c r="C294" s="1">
        <v>45506</v>
      </c>
      <c r="D294">
        <v>5</v>
      </c>
      <c r="E294" t="s">
        <v>8</v>
      </c>
      <c r="F294" t="s">
        <v>12</v>
      </c>
      <c r="G294" t="s">
        <v>13</v>
      </c>
    </row>
    <row r="295" spans="1:7">
      <c r="A295">
        <v>294</v>
      </c>
      <c r="B295" s="1">
        <v>45495</v>
      </c>
      <c r="C295" s="1">
        <v>45500</v>
      </c>
      <c r="D295">
        <v>5</v>
      </c>
      <c r="E295" t="s">
        <v>11</v>
      </c>
      <c r="F295" t="s">
        <v>9</v>
      </c>
      <c r="G295" t="s">
        <v>13</v>
      </c>
    </row>
    <row r="296" spans="1:7">
      <c r="A296">
        <v>295</v>
      </c>
      <c r="B296" s="1">
        <v>45479</v>
      </c>
      <c r="C296" s="1">
        <v>45481</v>
      </c>
      <c r="D296">
        <v>2</v>
      </c>
      <c r="E296" t="s">
        <v>8</v>
      </c>
      <c r="F296" t="s">
        <v>9</v>
      </c>
      <c r="G296" t="s">
        <v>10</v>
      </c>
    </row>
    <row r="297" spans="1:7">
      <c r="A297">
        <v>296</v>
      </c>
      <c r="B297" s="1">
        <v>45476</v>
      </c>
      <c r="C297" s="1">
        <v>45478</v>
      </c>
      <c r="D297">
        <v>2</v>
      </c>
      <c r="E297" t="s">
        <v>8</v>
      </c>
      <c r="F297" t="s">
        <v>12</v>
      </c>
      <c r="G297" t="s">
        <v>10</v>
      </c>
    </row>
    <row r="298" spans="1:7">
      <c r="A298">
        <v>297</v>
      </c>
      <c r="B298" s="1">
        <v>45493</v>
      </c>
      <c r="C298" s="1">
        <v>45496</v>
      </c>
      <c r="D298">
        <v>3</v>
      </c>
      <c r="E298" t="s">
        <v>8</v>
      </c>
      <c r="F298" t="s">
        <v>12</v>
      </c>
      <c r="G298" t="s">
        <v>10</v>
      </c>
    </row>
    <row r="299" spans="1:7">
      <c r="A299">
        <v>298</v>
      </c>
      <c r="B299" s="1">
        <v>45484</v>
      </c>
      <c r="C299" s="1">
        <v>45486</v>
      </c>
      <c r="D299">
        <v>2</v>
      </c>
      <c r="E299" t="s">
        <v>8</v>
      </c>
      <c r="F299" t="s">
        <v>15</v>
      </c>
      <c r="G299" t="s">
        <v>10</v>
      </c>
    </row>
    <row r="300" spans="1:7">
      <c r="A300">
        <v>299</v>
      </c>
      <c r="B300" s="1">
        <v>45497</v>
      </c>
      <c r="C300" s="1">
        <v>45502</v>
      </c>
      <c r="D300">
        <v>5</v>
      </c>
      <c r="E300" t="s">
        <v>11</v>
      </c>
      <c r="F300" t="s">
        <v>12</v>
      </c>
      <c r="G300" t="s">
        <v>13</v>
      </c>
    </row>
    <row r="301" spans="1:7">
      <c r="A301">
        <v>300</v>
      </c>
      <c r="B301" s="1">
        <v>45478</v>
      </c>
      <c r="C301" s="1">
        <v>45481</v>
      </c>
      <c r="D301">
        <v>3</v>
      </c>
      <c r="E301" t="s">
        <v>8</v>
      </c>
      <c r="F301" t="s">
        <v>9</v>
      </c>
      <c r="G301" t="s">
        <v>10</v>
      </c>
    </row>
    <row r="302" spans="1:7">
      <c r="A302">
        <v>301</v>
      </c>
      <c r="B302" s="1">
        <v>45492</v>
      </c>
      <c r="C302" s="1">
        <v>45494</v>
      </c>
      <c r="D302">
        <v>2</v>
      </c>
      <c r="E302" t="s">
        <v>14</v>
      </c>
      <c r="F302" t="s">
        <v>15</v>
      </c>
      <c r="G302" t="s">
        <v>10</v>
      </c>
    </row>
    <row r="303" spans="1:7">
      <c r="A303">
        <v>302</v>
      </c>
      <c r="B303" s="1">
        <v>45486</v>
      </c>
      <c r="C303" s="1">
        <v>45491</v>
      </c>
      <c r="D303">
        <v>5</v>
      </c>
      <c r="E303" t="s">
        <v>11</v>
      </c>
      <c r="F303" t="s">
        <v>9</v>
      </c>
      <c r="G303" t="s">
        <v>13</v>
      </c>
    </row>
    <row r="304" spans="1:7">
      <c r="A304">
        <v>303</v>
      </c>
      <c r="B304" s="1">
        <v>45490</v>
      </c>
      <c r="C304" s="1">
        <v>45494</v>
      </c>
      <c r="D304">
        <v>4</v>
      </c>
      <c r="E304" t="s">
        <v>14</v>
      </c>
      <c r="F304" t="s">
        <v>9</v>
      </c>
      <c r="G304" t="s">
        <v>13</v>
      </c>
    </row>
    <row r="305" spans="1:7">
      <c r="A305">
        <v>304</v>
      </c>
      <c r="B305" s="1">
        <v>45491</v>
      </c>
      <c r="C305" s="1">
        <v>45495</v>
      </c>
      <c r="D305">
        <v>4</v>
      </c>
      <c r="E305" t="s">
        <v>11</v>
      </c>
      <c r="F305" t="s">
        <v>9</v>
      </c>
      <c r="G305" t="s">
        <v>13</v>
      </c>
    </row>
    <row r="306" spans="1:7">
      <c r="A306">
        <v>305</v>
      </c>
      <c r="B306" s="1">
        <v>45478</v>
      </c>
      <c r="C306" s="1">
        <v>45479</v>
      </c>
      <c r="D306">
        <v>1</v>
      </c>
      <c r="E306" t="s">
        <v>11</v>
      </c>
      <c r="F306" t="s">
        <v>15</v>
      </c>
      <c r="G306" t="s">
        <v>10</v>
      </c>
    </row>
    <row r="307" spans="1:7">
      <c r="A307">
        <v>306</v>
      </c>
      <c r="B307" s="1">
        <v>45481</v>
      </c>
      <c r="C307" s="1">
        <v>45482</v>
      </c>
      <c r="D307">
        <v>1</v>
      </c>
      <c r="E307" t="s">
        <v>8</v>
      </c>
      <c r="F307" t="s">
        <v>9</v>
      </c>
      <c r="G307" t="s">
        <v>10</v>
      </c>
    </row>
    <row r="308" spans="1:7">
      <c r="A308">
        <v>307</v>
      </c>
      <c r="B308" s="1">
        <v>45485</v>
      </c>
      <c r="C308" s="1">
        <v>45487</v>
      </c>
      <c r="D308">
        <v>2</v>
      </c>
      <c r="E308" t="s">
        <v>11</v>
      </c>
      <c r="F308" t="s">
        <v>12</v>
      </c>
      <c r="G308" t="s">
        <v>10</v>
      </c>
    </row>
    <row r="309" spans="1:7">
      <c r="A309">
        <v>308</v>
      </c>
      <c r="B309" s="1">
        <v>45480</v>
      </c>
      <c r="C309" s="1">
        <v>45485</v>
      </c>
      <c r="D309">
        <v>5</v>
      </c>
      <c r="E309" t="s">
        <v>14</v>
      </c>
      <c r="F309" t="s">
        <v>9</v>
      </c>
      <c r="G309" t="s">
        <v>13</v>
      </c>
    </row>
    <row r="310" spans="1:7">
      <c r="A310">
        <v>309</v>
      </c>
      <c r="B310" s="1">
        <v>45501</v>
      </c>
      <c r="C310" s="1">
        <v>45504</v>
      </c>
      <c r="D310">
        <v>3</v>
      </c>
      <c r="E310" t="s">
        <v>11</v>
      </c>
      <c r="F310" t="s">
        <v>12</v>
      </c>
      <c r="G310" t="s">
        <v>10</v>
      </c>
    </row>
    <row r="311" spans="1:7">
      <c r="A311">
        <v>310</v>
      </c>
      <c r="B311" s="1">
        <v>45483</v>
      </c>
      <c r="C311" s="1">
        <v>45488</v>
      </c>
      <c r="D311">
        <v>5</v>
      </c>
      <c r="E311" t="s">
        <v>11</v>
      </c>
      <c r="F311" t="s">
        <v>12</v>
      </c>
      <c r="G311" t="s">
        <v>13</v>
      </c>
    </row>
    <row r="312" spans="1:7">
      <c r="A312">
        <v>311</v>
      </c>
      <c r="B312" s="1">
        <v>45475</v>
      </c>
      <c r="C312" s="1">
        <v>45480</v>
      </c>
      <c r="D312">
        <v>5</v>
      </c>
      <c r="E312" t="s">
        <v>11</v>
      </c>
      <c r="F312" t="s">
        <v>15</v>
      </c>
      <c r="G312" t="s">
        <v>13</v>
      </c>
    </row>
    <row r="313" spans="1:7">
      <c r="A313">
        <v>312</v>
      </c>
      <c r="B313" s="1">
        <v>45474</v>
      </c>
      <c r="C313" s="1">
        <v>45476</v>
      </c>
      <c r="D313">
        <v>2</v>
      </c>
      <c r="E313" t="s">
        <v>14</v>
      </c>
      <c r="F313" t="s">
        <v>15</v>
      </c>
      <c r="G313" t="s">
        <v>10</v>
      </c>
    </row>
    <row r="314" spans="1:7">
      <c r="A314">
        <v>313</v>
      </c>
      <c r="B314" s="1">
        <v>45486</v>
      </c>
      <c r="C314" s="1">
        <v>45488</v>
      </c>
      <c r="D314">
        <v>2</v>
      </c>
      <c r="E314" t="s">
        <v>11</v>
      </c>
      <c r="F314" t="s">
        <v>12</v>
      </c>
      <c r="G314" t="s">
        <v>10</v>
      </c>
    </row>
    <row r="315" spans="1:7">
      <c r="A315">
        <v>314</v>
      </c>
      <c r="B315" s="1">
        <v>45489</v>
      </c>
      <c r="C315" s="1">
        <v>45490</v>
      </c>
      <c r="D315">
        <v>1</v>
      </c>
      <c r="E315" t="s">
        <v>8</v>
      </c>
      <c r="F315" t="s">
        <v>15</v>
      </c>
      <c r="G315" t="s">
        <v>10</v>
      </c>
    </row>
    <row r="316" spans="1:7">
      <c r="A316">
        <v>315</v>
      </c>
      <c r="B316" s="1">
        <v>45487</v>
      </c>
      <c r="C316" s="1">
        <v>45491</v>
      </c>
      <c r="D316">
        <v>4</v>
      </c>
      <c r="E316" t="s">
        <v>11</v>
      </c>
      <c r="F316" t="s">
        <v>15</v>
      </c>
      <c r="G316" t="s">
        <v>13</v>
      </c>
    </row>
    <row r="317" spans="1:7">
      <c r="A317">
        <v>316</v>
      </c>
      <c r="B317" s="1">
        <v>45478</v>
      </c>
      <c r="C317" s="1">
        <v>45481</v>
      </c>
      <c r="D317">
        <v>3</v>
      </c>
      <c r="E317" t="s">
        <v>8</v>
      </c>
      <c r="F317" t="s">
        <v>12</v>
      </c>
      <c r="G317" t="s">
        <v>10</v>
      </c>
    </row>
    <row r="318" spans="1:7">
      <c r="A318">
        <v>317</v>
      </c>
      <c r="B318" s="1">
        <v>45495</v>
      </c>
      <c r="C318" s="1">
        <v>45497</v>
      </c>
      <c r="D318">
        <v>2</v>
      </c>
      <c r="E318" t="s">
        <v>14</v>
      </c>
      <c r="F318" t="s">
        <v>15</v>
      </c>
      <c r="G318" t="s">
        <v>10</v>
      </c>
    </row>
    <row r="319" spans="1:7">
      <c r="A319">
        <v>318</v>
      </c>
      <c r="B319" s="1">
        <v>45491</v>
      </c>
      <c r="C319" s="1">
        <v>45493</v>
      </c>
      <c r="D319">
        <v>2</v>
      </c>
      <c r="E319" t="s">
        <v>14</v>
      </c>
      <c r="F319" t="s">
        <v>12</v>
      </c>
      <c r="G319" t="s">
        <v>10</v>
      </c>
    </row>
    <row r="320" spans="1:7">
      <c r="A320">
        <v>319</v>
      </c>
      <c r="B320" s="1">
        <v>45487</v>
      </c>
      <c r="C320" s="1">
        <v>45491</v>
      </c>
      <c r="D320">
        <v>4</v>
      </c>
      <c r="E320" t="s">
        <v>8</v>
      </c>
      <c r="F320" t="s">
        <v>9</v>
      </c>
      <c r="G320" t="s">
        <v>13</v>
      </c>
    </row>
    <row r="321" spans="1:7">
      <c r="A321">
        <v>320</v>
      </c>
      <c r="B321" s="1">
        <v>45480</v>
      </c>
      <c r="C321" s="1">
        <v>45485</v>
      </c>
      <c r="D321">
        <v>5</v>
      </c>
      <c r="E321" t="s">
        <v>11</v>
      </c>
      <c r="F321" t="s">
        <v>9</v>
      </c>
      <c r="G321" t="s">
        <v>13</v>
      </c>
    </row>
    <row r="322" spans="1:7">
      <c r="A322">
        <v>321</v>
      </c>
      <c r="B322" s="1">
        <v>45493</v>
      </c>
      <c r="C322" s="1">
        <v>45495</v>
      </c>
      <c r="D322">
        <v>2</v>
      </c>
      <c r="E322" t="s">
        <v>14</v>
      </c>
      <c r="F322" t="s">
        <v>15</v>
      </c>
      <c r="G322" t="s">
        <v>10</v>
      </c>
    </row>
    <row r="323" spans="1:7">
      <c r="A323">
        <v>322</v>
      </c>
      <c r="B323" s="1">
        <v>45489</v>
      </c>
      <c r="C323" s="1">
        <v>45490</v>
      </c>
      <c r="D323">
        <v>1</v>
      </c>
      <c r="E323" t="s">
        <v>11</v>
      </c>
      <c r="F323" t="s">
        <v>9</v>
      </c>
      <c r="G323" t="s">
        <v>10</v>
      </c>
    </row>
    <row r="324" spans="1:7">
      <c r="A324">
        <v>323</v>
      </c>
      <c r="B324" s="1">
        <v>45490</v>
      </c>
      <c r="C324" s="1">
        <v>45494</v>
      </c>
      <c r="D324">
        <v>4</v>
      </c>
      <c r="E324" t="s">
        <v>11</v>
      </c>
      <c r="F324" t="s">
        <v>9</v>
      </c>
      <c r="G324" t="s">
        <v>13</v>
      </c>
    </row>
    <row r="325" spans="1:7">
      <c r="A325">
        <v>324</v>
      </c>
      <c r="B325" s="1">
        <v>45501</v>
      </c>
      <c r="C325" s="1">
        <v>45503</v>
      </c>
      <c r="D325">
        <v>2</v>
      </c>
      <c r="E325" t="s">
        <v>14</v>
      </c>
      <c r="F325" t="s">
        <v>15</v>
      </c>
      <c r="G325" t="s">
        <v>10</v>
      </c>
    </row>
    <row r="326" spans="1:7">
      <c r="A326">
        <v>325</v>
      </c>
      <c r="B326" s="1">
        <v>45475</v>
      </c>
      <c r="C326" s="1">
        <v>45478</v>
      </c>
      <c r="D326">
        <v>3</v>
      </c>
      <c r="E326" t="s">
        <v>11</v>
      </c>
      <c r="F326" t="s">
        <v>9</v>
      </c>
      <c r="G326" t="s">
        <v>10</v>
      </c>
    </row>
    <row r="327" spans="1:7">
      <c r="A327">
        <v>326</v>
      </c>
      <c r="B327" s="1">
        <v>45490</v>
      </c>
      <c r="C327" s="1">
        <v>45494</v>
      </c>
      <c r="D327">
        <v>4</v>
      </c>
      <c r="E327" t="s">
        <v>11</v>
      </c>
      <c r="F327" t="s">
        <v>15</v>
      </c>
      <c r="G327" t="s">
        <v>13</v>
      </c>
    </row>
    <row r="328" spans="1:7">
      <c r="A328">
        <v>327</v>
      </c>
      <c r="B328" s="1">
        <v>45480</v>
      </c>
      <c r="C328" s="1">
        <v>45483</v>
      </c>
      <c r="D328">
        <v>3</v>
      </c>
      <c r="E328" t="s">
        <v>8</v>
      </c>
      <c r="F328" t="s">
        <v>9</v>
      </c>
      <c r="G328" t="s">
        <v>10</v>
      </c>
    </row>
    <row r="329" spans="1:7">
      <c r="A329">
        <v>328</v>
      </c>
      <c r="B329" s="1">
        <v>45496</v>
      </c>
      <c r="C329" s="1">
        <v>45498</v>
      </c>
      <c r="D329">
        <v>2</v>
      </c>
      <c r="E329" t="s">
        <v>14</v>
      </c>
      <c r="F329" t="s">
        <v>9</v>
      </c>
      <c r="G329" t="s">
        <v>10</v>
      </c>
    </row>
    <row r="330" spans="1:7">
      <c r="A330">
        <v>329</v>
      </c>
      <c r="B330" s="1">
        <v>45489</v>
      </c>
      <c r="C330" s="1">
        <v>45492</v>
      </c>
      <c r="D330">
        <v>3</v>
      </c>
      <c r="E330" t="s">
        <v>8</v>
      </c>
      <c r="F330" t="s">
        <v>12</v>
      </c>
      <c r="G330" t="s">
        <v>10</v>
      </c>
    </row>
    <row r="331" spans="1:7">
      <c r="A331">
        <v>330</v>
      </c>
      <c r="B331" s="1">
        <v>45476</v>
      </c>
      <c r="C331" s="1">
        <v>45481</v>
      </c>
      <c r="D331">
        <v>5</v>
      </c>
      <c r="E331" t="s">
        <v>14</v>
      </c>
      <c r="F331" t="s">
        <v>9</v>
      </c>
      <c r="G331" t="s">
        <v>13</v>
      </c>
    </row>
    <row r="332" spans="1:7">
      <c r="A332">
        <v>331</v>
      </c>
      <c r="B332" s="1">
        <v>45498</v>
      </c>
      <c r="C332" s="1">
        <v>45502</v>
      </c>
      <c r="D332">
        <v>4</v>
      </c>
      <c r="E332" t="s">
        <v>14</v>
      </c>
      <c r="F332" t="s">
        <v>9</v>
      </c>
      <c r="G332" t="s">
        <v>13</v>
      </c>
    </row>
    <row r="333" spans="1:7">
      <c r="A333">
        <v>332</v>
      </c>
      <c r="B333" s="1">
        <v>45485</v>
      </c>
      <c r="C333" s="1">
        <v>45488</v>
      </c>
      <c r="D333">
        <v>3</v>
      </c>
      <c r="E333" t="s">
        <v>14</v>
      </c>
      <c r="F333" t="s">
        <v>12</v>
      </c>
      <c r="G333" t="s">
        <v>10</v>
      </c>
    </row>
    <row r="334" spans="1:7">
      <c r="A334">
        <v>333</v>
      </c>
      <c r="B334" s="1">
        <v>45478</v>
      </c>
      <c r="C334" s="1">
        <v>45481</v>
      </c>
      <c r="D334">
        <v>3</v>
      </c>
      <c r="E334" t="s">
        <v>14</v>
      </c>
      <c r="F334" t="s">
        <v>15</v>
      </c>
      <c r="G334" t="s">
        <v>10</v>
      </c>
    </row>
    <row r="335" spans="1:7">
      <c r="A335">
        <v>334</v>
      </c>
      <c r="B335" s="1">
        <v>45494</v>
      </c>
      <c r="C335" s="1">
        <v>45496</v>
      </c>
      <c r="D335">
        <v>2</v>
      </c>
      <c r="E335" t="s">
        <v>11</v>
      </c>
      <c r="F335" t="s">
        <v>12</v>
      </c>
      <c r="G335" t="s">
        <v>10</v>
      </c>
    </row>
    <row r="336" spans="1:7">
      <c r="A336">
        <v>335</v>
      </c>
      <c r="B336" s="1">
        <v>45494</v>
      </c>
      <c r="C336" s="1">
        <v>45496</v>
      </c>
      <c r="D336">
        <v>2</v>
      </c>
      <c r="E336" t="s">
        <v>11</v>
      </c>
      <c r="F336" t="s">
        <v>15</v>
      </c>
      <c r="G336" t="s">
        <v>10</v>
      </c>
    </row>
    <row r="337" spans="1:7">
      <c r="A337">
        <v>336</v>
      </c>
      <c r="B337" s="1">
        <v>45494</v>
      </c>
      <c r="C337" s="1">
        <v>45499</v>
      </c>
      <c r="D337">
        <v>5</v>
      </c>
      <c r="E337" t="s">
        <v>14</v>
      </c>
      <c r="F337" t="s">
        <v>9</v>
      </c>
      <c r="G337" t="s">
        <v>13</v>
      </c>
    </row>
    <row r="338" spans="1:7">
      <c r="A338">
        <v>337</v>
      </c>
      <c r="B338" s="1">
        <v>45482</v>
      </c>
      <c r="C338" s="1">
        <v>45484</v>
      </c>
      <c r="D338">
        <v>2</v>
      </c>
      <c r="E338" t="s">
        <v>14</v>
      </c>
      <c r="F338" t="s">
        <v>15</v>
      </c>
      <c r="G338" t="s">
        <v>10</v>
      </c>
    </row>
    <row r="339" spans="1:7">
      <c r="A339">
        <v>338</v>
      </c>
      <c r="B339" s="1">
        <v>45475</v>
      </c>
      <c r="C339" s="1">
        <v>45476</v>
      </c>
      <c r="D339">
        <v>1</v>
      </c>
      <c r="E339" t="s">
        <v>11</v>
      </c>
      <c r="F339" t="s">
        <v>9</v>
      </c>
      <c r="G339" t="s">
        <v>10</v>
      </c>
    </row>
    <row r="340" spans="1:7">
      <c r="A340">
        <v>339</v>
      </c>
      <c r="B340" s="1">
        <v>45495</v>
      </c>
      <c r="C340" s="1">
        <v>45496</v>
      </c>
      <c r="D340">
        <v>1</v>
      </c>
      <c r="E340" t="s">
        <v>14</v>
      </c>
      <c r="F340" t="s">
        <v>12</v>
      </c>
      <c r="G340" t="s">
        <v>10</v>
      </c>
    </row>
    <row r="341" spans="1:7">
      <c r="A341">
        <v>340</v>
      </c>
      <c r="B341" s="1">
        <v>45491</v>
      </c>
      <c r="C341" s="1">
        <v>45493</v>
      </c>
      <c r="D341">
        <v>2</v>
      </c>
      <c r="E341" t="s">
        <v>11</v>
      </c>
      <c r="F341" t="s">
        <v>15</v>
      </c>
      <c r="G341" t="s">
        <v>10</v>
      </c>
    </row>
    <row r="342" spans="1:7">
      <c r="A342">
        <v>341</v>
      </c>
      <c r="B342" s="1">
        <v>45492</v>
      </c>
      <c r="C342" s="1">
        <v>45497</v>
      </c>
      <c r="D342">
        <v>5</v>
      </c>
      <c r="E342" t="s">
        <v>11</v>
      </c>
      <c r="F342" t="s">
        <v>9</v>
      </c>
      <c r="G342" t="s">
        <v>13</v>
      </c>
    </row>
    <row r="343" spans="1:7">
      <c r="A343">
        <v>342</v>
      </c>
      <c r="B343" s="1">
        <v>45485</v>
      </c>
      <c r="C343" s="1">
        <v>45490</v>
      </c>
      <c r="D343">
        <v>5</v>
      </c>
      <c r="E343" t="s">
        <v>14</v>
      </c>
      <c r="F343" t="s">
        <v>12</v>
      </c>
      <c r="G343" t="s">
        <v>13</v>
      </c>
    </row>
    <row r="344" spans="1:7">
      <c r="A344">
        <v>343</v>
      </c>
      <c r="B344" s="1">
        <v>45494</v>
      </c>
      <c r="C344" s="1">
        <v>45495</v>
      </c>
      <c r="D344">
        <v>1</v>
      </c>
      <c r="E344" t="s">
        <v>8</v>
      </c>
      <c r="F344" t="s">
        <v>9</v>
      </c>
      <c r="G344" t="s">
        <v>10</v>
      </c>
    </row>
    <row r="345" spans="1:7">
      <c r="A345">
        <v>344</v>
      </c>
      <c r="B345" s="1">
        <v>45492</v>
      </c>
      <c r="C345" s="1">
        <v>45497</v>
      </c>
      <c r="D345">
        <v>5</v>
      </c>
      <c r="E345" t="s">
        <v>14</v>
      </c>
      <c r="F345" t="s">
        <v>15</v>
      </c>
      <c r="G345" t="s">
        <v>13</v>
      </c>
    </row>
    <row r="346" spans="1:7">
      <c r="A346">
        <v>345</v>
      </c>
      <c r="B346" s="1">
        <v>45492</v>
      </c>
      <c r="C346" s="1">
        <v>45493</v>
      </c>
      <c r="D346">
        <v>1</v>
      </c>
      <c r="E346" t="s">
        <v>14</v>
      </c>
      <c r="F346" t="s">
        <v>12</v>
      </c>
      <c r="G346" t="s">
        <v>10</v>
      </c>
    </row>
    <row r="347" spans="1:7">
      <c r="A347">
        <v>346</v>
      </c>
      <c r="B347" s="1">
        <v>45481</v>
      </c>
      <c r="C347" s="1">
        <v>45482</v>
      </c>
      <c r="D347">
        <v>1</v>
      </c>
      <c r="E347" t="s">
        <v>14</v>
      </c>
      <c r="F347" t="s">
        <v>9</v>
      </c>
      <c r="G347" t="s">
        <v>10</v>
      </c>
    </row>
    <row r="348" spans="1:7">
      <c r="A348">
        <v>347</v>
      </c>
      <c r="B348" s="1">
        <v>45498</v>
      </c>
      <c r="C348" s="1">
        <v>45502</v>
      </c>
      <c r="D348">
        <v>4</v>
      </c>
      <c r="E348" t="s">
        <v>11</v>
      </c>
      <c r="F348" t="s">
        <v>9</v>
      </c>
      <c r="G348" t="s">
        <v>13</v>
      </c>
    </row>
    <row r="349" spans="1:7">
      <c r="A349">
        <v>348</v>
      </c>
      <c r="B349" s="1">
        <v>45480</v>
      </c>
      <c r="C349" s="1">
        <v>45483</v>
      </c>
      <c r="D349">
        <v>3</v>
      </c>
      <c r="E349" t="s">
        <v>14</v>
      </c>
      <c r="F349" t="s">
        <v>9</v>
      </c>
      <c r="G349" t="s">
        <v>10</v>
      </c>
    </row>
    <row r="350" spans="1:7">
      <c r="A350">
        <v>349</v>
      </c>
      <c r="B350" s="1">
        <v>45484</v>
      </c>
      <c r="C350" s="1">
        <v>45488</v>
      </c>
      <c r="D350">
        <v>4</v>
      </c>
      <c r="E350" t="s">
        <v>8</v>
      </c>
      <c r="F350" t="s">
        <v>15</v>
      </c>
      <c r="G350" t="s">
        <v>13</v>
      </c>
    </row>
    <row r="351" spans="1:7">
      <c r="A351">
        <v>350</v>
      </c>
      <c r="B351" s="1">
        <v>45487</v>
      </c>
      <c r="C351" s="1">
        <v>45489</v>
      </c>
      <c r="D351">
        <v>2</v>
      </c>
      <c r="E351" t="s">
        <v>14</v>
      </c>
      <c r="F351" t="s">
        <v>15</v>
      </c>
      <c r="G351" t="s">
        <v>10</v>
      </c>
    </row>
    <row r="352" spans="1:7">
      <c r="A352">
        <v>351</v>
      </c>
      <c r="B352" s="1">
        <v>45491</v>
      </c>
      <c r="C352" s="1">
        <v>45494</v>
      </c>
      <c r="D352">
        <v>3</v>
      </c>
      <c r="E352" t="s">
        <v>14</v>
      </c>
      <c r="F352" t="s">
        <v>12</v>
      </c>
      <c r="G352" t="s">
        <v>10</v>
      </c>
    </row>
    <row r="353" spans="1:7">
      <c r="A353">
        <v>352</v>
      </c>
      <c r="B353" s="1">
        <v>45484</v>
      </c>
      <c r="C353" s="1">
        <v>45485</v>
      </c>
      <c r="D353">
        <v>1</v>
      </c>
      <c r="E353" t="s">
        <v>8</v>
      </c>
      <c r="F353" t="s">
        <v>9</v>
      </c>
      <c r="G353" t="s">
        <v>10</v>
      </c>
    </row>
    <row r="354" spans="1:7">
      <c r="A354">
        <v>353</v>
      </c>
      <c r="B354" s="1">
        <v>45489</v>
      </c>
      <c r="C354" s="1">
        <v>45494</v>
      </c>
      <c r="D354">
        <v>5</v>
      </c>
      <c r="E354" t="s">
        <v>11</v>
      </c>
      <c r="F354" t="s">
        <v>15</v>
      </c>
      <c r="G354" t="s">
        <v>13</v>
      </c>
    </row>
    <row r="355" spans="1:7">
      <c r="A355">
        <v>354</v>
      </c>
      <c r="B355" s="1">
        <v>45503</v>
      </c>
      <c r="C355" s="1">
        <v>45507</v>
      </c>
      <c r="D355">
        <v>4</v>
      </c>
      <c r="E355" t="s">
        <v>11</v>
      </c>
      <c r="F355" t="s">
        <v>12</v>
      </c>
      <c r="G355" t="s">
        <v>13</v>
      </c>
    </row>
    <row r="356" spans="1:7">
      <c r="A356">
        <v>355</v>
      </c>
      <c r="B356" s="1">
        <v>45485</v>
      </c>
      <c r="C356" s="1">
        <v>45487</v>
      </c>
      <c r="D356">
        <v>2</v>
      </c>
      <c r="E356" t="s">
        <v>14</v>
      </c>
      <c r="F356" t="s">
        <v>15</v>
      </c>
      <c r="G356" t="s">
        <v>10</v>
      </c>
    </row>
    <row r="357" spans="1:7">
      <c r="A357">
        <v>356</v>
      </c>
      <c r="B357" s="1">
        <v>45493</v>
      </c>
      <c r="C357" s="1">
        <v>45498</v>
      </c>
      <c r="D357">
        <v>5</v>
      </c>
      <c r="E357" t="s">
        <v>11</v>
      </c>
      <c r="F357" t="s">
        <v>9</v>
      </c>
      <c r="G357" t="s">
        <v>13</v>
      </c>
    </row>
    <row r="358" spans="1:7">
      <c r="A358">
        <v>357</v>
      </c>
      <c r="B358" s="1">
        <v>45503</v>
      </c>
      <c r="C358" s="1">
        <v>45504</v>
      </c>
      <c r="D358">
        <v>1</v>
      </c>
      <c r="E358" t="s">
        <v>8</v>
      </c>
      <c r="F358" t="s">
        <v>12</v>
      </c>
      <c r="G358" t="s">
        <v>10</v>
      </c>
    </row>
    <row r="359" spans="1:7">
      <c r="A359">
        <v>358</v>
      </c>
      <c r="B359" s="1">
        <v>45499</v>
      </c>
      <c r="C359" s="1">
        <v>45500</v>
      </c>
      <c r="D359">
        <v>1</v>
      </c>
      <c r="E359" t="s">
        <v>11</v>
      </c>
      <c r="F359" t="s">
        <v>12</v>
      </c>
      <c r="G359" t="s">
        <v>10</v>
      </c>
    </row>
    <row r="360" spans="1:7">
      <c r="A360">
        <v>359</v>
      </c>
      <c r="B360" s="1">
        <v>45498</v>
      </c>
      <c r="C360" s="1">
        <v>45503</v>
      </c>
      <c r="D360">
        <v>5</v>
      </c>
      <c r="E360" t="s">
        <v>14</v>
      </c>
      <c r="F360" t="s">
        <v>9</v>
      </c>
      <c r="G360" t="s">
        <v>13</v>
      </c>
    </row>
    <row r="361" spans="1:7">
      <c r="A361">
        <v>360</v>
      </c>
      <c r="B361" s="1">
        <v>45489</v>
      </c>
      <c r="C361" s="1">
        <v>45492</v>
      </c>
      <c r="D361">
        <v>3</v>
      </c>
      <c r="E361" t="s">
        <v>8</v>
      </c>
      <c r="F361" t="s">
        <v>15</v>
      </c>
      <c r="G361" t="s">
        <v>10</v>
      </c>
    </row>
    <row r="362" spans="1:7">
      <c r="A362">
        <v>361</v>
      </c>
      <c r="B362" s="1">
        <v>45494</v>
      </c>
      <c r="C362" s="1">
        <v>45496</v>
      </c>
      <c r="D362">
        <v>2</v>
      </c>
      <c r="E362" t="s">
        <v>11</v>
      </c>
      <c r="F362" t="s">
        <v>9</v>
      </c>
      <c r="G362" t="s">
        <v>10</v>
      </c>
    </row>
    <row r="363" spans="1:7">
      <c r="A363">
        <v>362</v>
      </c>
      <c r="B363" s="1">
        <v>45479</v>
      </c>
      <c r="C363" s="1">
        <v>45482</v>
      </c>
      <c r="D363">
        <v>3</v>
      </c>
      <c r="E363" t="s">
        <v>8</v>
      </c>
      <c r="F363" t="s">
        <v>12</v>
      </c>
      <c r="G363" t="s">
        <v>10</v>
      </c>
    </row>
    <row r="364" spans="1:7">
      <c r="A364">
        <v>363</v>
      </c>
      <c r="B364" s="1">
        <v>45485</v>
      </c>
      <c r="C364" s="1">
        <v>45487</v>
      </c>
      <c r="D364">
        <v>2</v>
      </c>
      <c r="E364" t="s">
        <v>14</v>
      </c>
      <c r="F364" t="s">
        <v>12</v>
      </c>
      <c r="G364" t="s">
        <v>10</v>
      </c>
    </row>
    <row r="365" spans="1:7">
      <c r="A365">
        <v>364</v>
      </c>
      <c r="B365" s="1">
        <v>45502</v>
      </c>
      <c r="C365" s="1">
        <v>45503</v>
      </c>
      <c r="D365">
        <v>1</v>
      </c>
      <c r="E365" t="s">
        <v>8</v>
      </c>
      <c r="F365" t="s">
        <v>9</v>
      </c>
      <c r="G365" t="s">
        <v>10</v>
      </c>
    </row>
    <row r="366" spans="1:7">
      <c r="A366">
        <v>365</v>
      </c>
      <c r="B366" s="1">
        <v>45480</v>
      </c>
      <c r="C366" s="1">
        <v>45483</v>
      </c>
      <c r="D366">
        <v>3</v>
      </c>
      <c r="E366" t="s">
        <v>8</v>
      </c>
      <c r="F366" t="s">
        <v>12</v>
      </c>
      <c r="G366" t="s">
        <v>10</v>
      </c>
    </row>
    <row r="367" spans="1:7">
      <c r="A367">
        <v>366</v>
      </c>
      <c r="B367" s="1">
        <v>45483</v>
      </c>
      <c r="C367" s="1">
        <v>45485</v>
      </c>
      <c r="D367">
        <v>2</v>
      </c>
      <c r="E367" t="s">
        <v>14</v>
      </c>
      <c r="F367" t="s">
        <v>12</v>
      </c>
      <c r="G367" t="s">
        <v>10</v>
      </c>
    </row>
    <row r="368" spans="1:7">
      <c r="A368">
        <v>367</v>
      </c>
      <c r="B368" s="1">
        <v>45483</v>
      </c>
      <c r="C368" s="1">
        <v>45486</v>
      </c>
      <c r="D368">
        <v>3</v>
      </c>
      <c r="E368" t="s">
        <v>11</v>
      </c>
      <c r="F368" t="s">
        <v>9</v>
      </c>
      <c r="G368" t="s">
        <v>10</v>
      </c>
    </row>
    <row r="369" spans="1:7">
      <c r="A369">
        <v>368</v>
      </c>
      <c r="B369" s="1">
        <v>45483</v>
      </c>
      <c r="C369" s="1">
        <v>45488</v>
      </c>
      <c r="D369">
        <v>5</v>
      </c>
      <c r="E369" t="s">
        <v>14</v>
      </c>
      <c r="F369" t="s">
        <v>9</v>
      </c>
      <c r="G369" t="s">
        <v>13</v>
      </c>
    </row>
    <row r="370" spans="1:7">
      <c r="A370">
        <v>369</v>
      </c>
      <c r="B370" s="1">
        <v>45474</v>
      </c>
      <c r="C370" s="1">
        <v>45479</v>
      </c>
      <c r="D370">
        <v>5</v>
      </c>
      <c r="E370" t="s">
        <v>14</v>
      </c>
      <c r="F370" t="s">
        <v>9</v>
      </c>
      <c r="G370" t="s">
        <v>13</v>
      </c>
    </row>
    <row r="371" spans="1:7">
      <c r="A371">
        <v>370</v>
      </c>
      <c r="B371" s="1">
        <v>45485</v>
      </c>
      <c r="C371" s="1">
        <v>45487</v>
      </c>
      <c r="D371">
        <v>2</v>
      </c>
      <c r="E371" t="s">
        <v>14</v>
      </c>
      <c r="F371" t="s">
        <v>15</v>
      </c>
      <c r="G371" t="s">
        <v>10</v>
      </c>
    </row>
    <row r="372" spans="1:7">
      <c r="A372">
        <v>371</v>
      </c>
      <c r="B372" s="1">
        <v>45489</v>
      </c>
      <c r="C372" s="1">
        <v>45490</v>
      </c>
      <c r="D372">
        <v>1</v>
      </c>
      <c r="E372" t="s">
        <v>14</v>
      </c>
      <c r="F372" t="s">
        <v>9</v>
      </c>
      <c r="G372" t="s">
        <v>10</v>
      </c>
    </row>
    <row r="373" spans="1:7">
      <c r="A373">
        <v>372</v>
      </c>
      <c r="B373" s="1">
        <v>45492</v>
      </c>
      <c r="C373" s="1">
        <v>45494</v>
      </c>
      <c r="D373">
        <v>2</v>
      </c>
      <c r="E373" t="s">
        <v>11</v>
      </c>
      <c r="F373" t="s">
        <v>15</v>
      </c>
      <c r="G373" t="s">
        <v>10</v>
      </c>
    </row>
    <row r="374" spans="1:7">
      <c r="A374">
        <v>373</v>
      </c>
      <c r="B374" s="1">
        <v>45496</v>
      </c>
      <c r="C374" s="1">
        <v>45497</v>
      </c>
      <c r="D374">
        <v>1</v>
      </c>
      <c r="E374" t="s">
        <v>11</v>
      </c>
      <c r="F374" t="s">
        <v>15</v>
      </c>
      <c r="G374" t="s">
        <v>10</v>
      </c>
    </row>
    <row r="375" spans="1:7">
      <c r="A375">
        <v>374</v>
      </c>
      <c r="B375" s="1">
        <v>45504</v>
      </c>
      <c r="C375" s="1">
        <v>45505</v>
      </c>
      <c r="D375">
        <v>1</v>
      </c>
      <c r="E375" t="s">
        <v>11</v>
      </c>
      <c r="F375" t="s">
        <v>9</v>
      </c>
      <c r="G375" t="s">
        <v>10</v>
      </c>
    </row>
    <row r="376" spans="1:7">
      <c r="A376">
        <v>375</v>
      </c>
      <c r="B376" s="1">
        <v>45496</v>
      </c>
      <c r="C376" s="1">
        <v>45499</v>
      </c>
      <c r="D376">
        <v>3</v>
      </c>
      <c r="E376" t="s">
        <v>14</v>
      </c>
      <c r="F376" t="s">
        <v>12</v>
      </c>
      <c r="G376" t="s">
        <v>10</v>
      </c>
    </row>
    <row r="377" spans="1:7">
      <c r="A377">
        <v>376</v>
      </c>
      <c r="B377" s="1">
        <v>45483</v>
      </c>
      <c r="C377" s="1">
        <v>45484</v>
      </c>
      <c r="D377">
        <v>1</v>
      </c>
      <c r="E377" t="s">
        <v>8</v>
      </c>
      <c r="F377" t="s">
        <v>9</v>
      </c>
      <c r="G377" t="s">
        <v>10</v>
      </c>
    </row>
    <row r="378" spans="1:7">
      <c r="A378">
        <v>377</v>
      </c>
      <c r="B378" s="1">
        <v>45485</v>
      </c>
      <c r="C378" s="1">
        <v>45490</v>
      </c>
      <c r="D378">
        <v>5</v>
      </c>
      <c r="E378" t="s">
        <v>14</v>
      </c>
      <c r="F378" t="s">
        <v>15</v>
      </c>
      <c r="G378" t="s">
        <v>13</v>
      </c>
    </row>
    <row r="379" spans="1:7">
      <c r="A379">
        <v>378</v>
      </c>
      <c r="B379" s="1">
        <v>45504</v>
      </c>
      <c r="C379" s="1">
        <v>45505</v>
      </c>
      <c r="D379">
        <v>1</v>
      </c>
      <c r="E379" t="s">
        <v>14</v>
      </c>
      <c r="F379" t="s">
        <v>15</v>
      </c>
      <c r="G379" t="s">
        <v>10</v>
      </c>
    </row>
    <row r="380" spans="1:7">
      <c r="A380">
        <v>379</v>
      </c>
      <c r="B380" s="1">
        <v>45478</v>
      </c>
      <c r="C380" s="1">
        <v>45481</v>
      </c>
      <c r="D380">
        <v>3</v>
      </c>
      <c r="E380" t="s">
        <v>11</v>
      </c>
      <c r="F380" t="s">
        <v>12</v>
      </c>
      <c r="G380" t="s">
        <v>10</v>
      </c>
    </row>
    <row r="381" spans="1:7">
      <c r="A381">
        <v>380</v>
      </c>
      <c r="B381" s="1">
        <v>45487</v>
      </c>
      <c r="C381" s="1">
        <v>45488</v>
      </c>
      <c r="D381">
        <v>1</v>
      </c>
      <c r="E381" t="s">
        <v>8</v>
      </c>
      <c r="F381" t="s">
        <v>9</v>
      </c>
      <c r="G381" t="s">
        <v>10</v>
      </c>
    </row>
    <row r="382" spans="1:7">
      <c r="A382">
        <v>381</v>
      </c>
      <c r="B382" s="1">
        <v>45495</v>
      </c>
      <c r="C382" s="1">
        <v>45500</v>
      </c>
      <c r="D382">
        <v>5</v>
      </c>
      <c r="E382" t="s">
        <v>11</v>
      </c>
      <c r="F382" t="s">
        <v>9</v>
      </c>
      <c r="G382" t="s">
        <v>13</v>
      </c>
    </row>
    <row r="383" spans="1:7">
      <c r="A383">
        <v>382</v>
      </c>
      <c r="B383" s="1">
        <v>45501</v>
      </c>
      <c r="C383" s="1">
        <v>45503</v>
      </c>
      <c r="D383">
        <v>2</v>
      </c>
      <c r="E383" t="s">
        <v>11</v>
      </c>
      <c r="F383" t="s">
        <v>9</v>
      </c>
      <c r="G383" t="s">
        <v>10</v>
      </c>
    </row>
    <row r="384" spans="1:7">
      <c r="A384">
        <v>383</v>
      </c>
      <c r="B384" s="1">
        <v>45493</v>
      </c>
      <c r="C384" s="1">
        <v>45496</v>
      </c>
      <c r="D384">
        <v>3</v>
      </c>
      <c r="E384" t="s">
        <v>8</v>
      </c>
      <c r="F384" t="s">
        <v>9</v>
      </c>
      <c r="G384" t="s">
        <v>10</v>
      </c>
    </row>
    <row r="385" spans="1:7">
      <c r="A385">
        <v>384</v>
      </c>
      <c r="B385" s="1">
        <v>45482</v>
      </c>
      <c r="C385" s="1">
        <v>45486</v>
      </c>
      <c r="D385">
        <v>4</v>
      </c>
      <c r="E385" t="s">
        <v>14</v>
      </c>
      <c r="F385" t="s">
        <v>12</v>
      </c>
      <c r="G385" t="s">
        <v>13</v>
      </c>
    </row>
    <row r="386" spans="1:7">
      <c r="A386">
        <v>385</v>
      </c>
      <c r="B386" s="1">
        <v>45482</v>
      </c>
      <c r="C386" s="1">
        <v>45486</v>
      </c>
      <c r="D386">
        <v>4</v>
      </c>
      <c r="E386" t="s">
        <v>11</v>
      </c>
      <c r="F386" t="s">
        <v>12</v>
      </c>
      <c r="G386" t="s">
        <v>13</v>
      </c>
    </row>
    <row r="387" spans="1:7">
      <c r="A387">
        <v>386</v>
      </c>
      <c r="B387" s="1">
        <v>45504</v>
      </c>
      <c r="C387" s="1">
        <v>45509</v>
      </c>
      <c r="D387">
        <v>5</v>
      </c>
      <c r="E387" t="s">
        <v>11</v>
      </c>
      <c r="F387" t="s">
        <v>12</v>
      </c>
      <c r="G387" t="s">
        <v>13</v>
      </c>
    </row>
    <row r="388" spans="1:7">
      <c r="A388">
        <v>387</v>
      </c>
      <c r="B388" s="1">
        <v>45482</v>
      </c>
      <c r="C388" s="1">
        <v>45487</v>
      </c>
      <c r="D388">
        <v>5</v>
      </c>
      <c r="E388" t="s">
        <v>11</v>
      </c>
      <c r="F388" t="s">
        <v>12</v>
      </c>
      <c r="G388" t="s">
        <v>13</v>
      </c>
    </row>
    <row r="389" spans="1:7">
      <c r="A389">
        <v>388</v>
      </c>
      <c r="B389" s="1">
        <v>45485</v>
      </c>
      <c r="C389" s="1">
        <v>45487</v>
      </c>
      <c r="D389">
        <v>2</v>
      </c>
      <c r="E389" t="s">
        <v>14</v>
      </c>
      <c r="F389" t="s">
        <v>12</v>
      </c>
      <c r="G389" t="s">
        <v>10</v>
      </c>
    </row>
    <row r="390" spans="1:7">
      <c r="A390">
        <v>389</v>
      </c>
      <c r="B390" s="1">
        <v>45501</v>
      </c>
      <c r="C390" s="1">
        <v>45504</v>
      </c>
      <c r="D390">
        <v>3</v>
      </c>
      <c r="E390" t="s">
        <v>8</v>
      </c>
      <c r="F390" t="s">
        <v>15</v>
      </c>
      <c r="G390" t="s">
        <v>10</v>
      </c>
    </row>
    <row r="391" spans="1:7">
      <c r="A391">
        <v>390</v>
      </c>
      <c r="B391" s="1">
        <v>45503</v>
      </c>
      <c r="C391" s="1">
        <v>45504</v>
      </c>
      <c r="D391">
        <v>1</v>
      </c>
      <c r="E391" t="s">
        <v>8</v>
      </c>
      <c r="F391" t="s">
        <v>12</v>
      </c>
      <c r="G391" t="s">
        <v>10</v>
      </c>
    </row>
    <row r="392" spans="1:7">
      <c r="A392">
        <v>391</v>
      </c>
      <c r="B392" s="1">
        <v>45498</v>
      </c>
      <c r="C392" s="1">
        <v>45502</v>
      </c>
      <c r="D392">
        <v>4</v>
      </c>
      <c r="E392" t="s">
        <v>8</v>
      </c>
      <c r="F392" t="s">
        <v>15</v>
      </c>
      <c r="G392" t="s">
        <v>13</v>
      </c>
    </row>
    <row r="393" spans="1:7">
      <c r="A393">
        <v>392</v>
      </c>
      <c r="B393" s="1">
        <v>45500</v>
      </c>
      <c r="C393" s="1">
        <v>45501</v>
      </c>
      <c r="D393">
        <v>1</v>
      </c>
      <c r="E393" t="s">
        <v>14</v>
      </c>
      <c r="F393" t="s">
        <v>12</v>
      </c>
      <c r="G393" t="s">
        <v>10</v>
      </c>
    </row>
    <row r="394" spans="1:7">
      <c r="A394">
        <v>393</v>
      </c>
      <c r="B394" s="1">
        <v>45484</v>
      </c>
      <c r="C394" s="1">
        <v>45485</v>
      </c>
      <c r="D394">
        <v>1</v>
      </c>
      <c r="E394" t="s">
        <v>11</v>
      </c>
      <c r="F394" t="s">
        <v>15</v>
      </c>
      <c r="G394" t="s">
        <v>10</v>
      </c>
    </row>
    <row r="395" spans="1:7">
      <c r="A395">
        <v>394</v>
      </c>
      <c r="B395" s="1">
        <v>45478</v>
      </c>
      <c r="C395" s="1">
        <v>45482</v>
      </c>
      <c r="D395">
        <v>4</v>
      </c>
      <c r="E395" t="s">
        <v>8</v>
      </c>
      <c r="F395" t="s">
        <v>15</v>
      </c>
      <c r="G395" t="s">
        <v>13</v>
      </c>
    </row>
    <row r="396" spans="1:7">
      <c r="A396">
        <v>395</v>
      </c>
      <c r="B396" s="1">
        <v>45474</v>
      </c>
      <c r="C396" s="1">
        <v>45476</v>
      </c>
      <c r="D396">
        <v>2</v>
      </c>
      <c r="E396" t="s">
        <v>14</v>
      </c>
      <c r="F396" t="s">
        <v>9</v>
      </c>
      <c r="G396" t="s">
        <v>10</v>
      </c>
    </row>
    <row r="397" spans="1:7">
      <c r="A397">
        <v>396</v>
      </c>
      <c r="B397" s="1">
        <v>45485</v>
      </c>
      <c r="C397" s="1">
        <v>45488</v>
      </c>
      <c r="D397">
        <v>3</v>
      </c>
      <c r="E397" t="s">
        <v>14</v>
      </c>
      <c r="F397" t="s">
        <v>15</v>
      </c>
      <c r="G397" t="s">
        <v>10</v>
      </c>
    </row>
    <row r="398" spans="1:7">
      <c r="A398">
        <v>397</v>
      </c>
      <c r="B398" s="1">
        <v>45485</v>
      </c>
      <c r="C398" s="1">
        <v>45487</v>
      </c>
      <c r="D398">
        <v>2</v>
      </c>
      <c r="E398" t="s">
        <v>11</v>
      </c>
      <c r="F398" t="s">
        <v>12</v>
      </c>
      <c r="G398" t="s">
        <v>10</v>
      </c>
    </row>
    <row r="399" spans="1:7">
      <c r="A399">
        <v>398</v>
      </c>
      <c r="B399" s="1">
        <v>45486</v>
      </c>
      <c r="C399" s="1">
        <v>45488</v>
      </c>
      <c r="D399">
        <v>2</v>
      </c>
      <c r="E399" t="s">
        <v>11</v>
      </c>
      <c r="F399" t="s">
        <v>9</v>
      </c>
      <c r="G399" t="s">
        <v>10</v>
      </c>
    </row>
    <row r="400" spans="1:7">
      <c r="A400">
        <v>399</v>
      </c>
      <c r="B400" s="1">
        <v>45478</v>
      </c>
      <c r="C400" s="1">
        <v>45480</v>
      </c>
      <c r="D400">
        <v>2</v>
      </c>
      <c r="E400" t="s">
        <v>11</v>
      </c>
      <c r="F400" t="s">
        <v>12</v>
      </c>
      <c r="G400" t="s">
        <v>10</v>
      </c>
    </row>
    <row r="401" spans="1:7">
      <c r="A401">
        <v>400</v>
      </c>
      <c r="B401" s="1">
        <v>45483</v>
      </c>
      <c r="C401" s="1">
        <v>45487</v>
      </c>
      <c r="D401">
        <v>4</v>
      </c>
      <c r="E401" t="s">
        <v>8</v>
      </c>
      <c r="F401" t="s">
        <v>15</v>
      </c>
      <c r="G401" t="s">
        <v>13</v>
      </c>
    </row>
    <row r="402" spans="1:7">
      <c r="A402">
        <v>401</v>
      </c>
      <c r="B402" s="1">
        <v>45476</v>
      </c>
      <c r="C402" s="1">
        <v>45480</v>
      </c>
      <c r="D402">
        <v>4</v>
      </c>
      <c r="E402" t="s">
        <v>14</v>
      </c>
      <c r="F402" t="s">
        <v>9</v>
      </c>
      <c r="G402" t="s">
        <v>13</v>
      </c>
    </row>
    <row r="403" spans="1:7">
      <c r="A403">
        <v>402</v>
      </c>
      <c r="B403" s="1">
        <v>45477</v>
      </c>
      <c r="C403" s="1">
        <v>45482</v>
      </c>
      <c r="D403">
        <v>5</v>
      </c>
      <c r="E403" t="s">
        <v>14</v>
      </c>
      <c r="F403" t="s">
        <v>12</v>
      </c>
      <c r="G403" t="s">
        <v>13</v>
      </c>
    </row>
    <row r="404" spans="1:7">
      <c r="A404">
        <v>403</v>
      </c>
      <c r="B404" s="1">
        <v>45504</v>
      </c>
      <c r="C404" s="1">
        <v>45509</v>
      </c>
      <c r="D404">
        <v>5</v>
      </c>
      <c r="E404" t="s">
        <v>8</v>
      </c>
      <c r="F404" t="s">
        <v>15</v>
      </c>
      <c r="G404" t="s">
        <v>13</v>
      </c>
    </row>
    <row r="405" spans="1:7">
      <c r="A405">
        <v>404</v>
      </c>
      <c r="B405" s="1">
        <v>45504</v>
      </c>
      <c r="C405" s="1">
        <v>45507</v>
      </c>
      <c r="D405">
        <v>3</v>
      </c>
      <c r="E405" t="s">
        <v>8</v>
      </c>
      <c r="F405" t="s">
        <v>12</v>
      </c>
      <c r="G405" t="s">
        <v>10</v>
      </c>
    </row>
    <row r="406" spans="1:7">
      <c r="A406">
        <v>405</v>
      </c>
      <c r="B406" s="1">
        <v>45495</v>
      </c>
      <c r="C406" s="1">
        <v>45496</v>
      </c>
      <c r="D406">
        <v>1</v>
      </c>
      <c r="E406" t="s">
        <v>11</v>
      </c>
      <c r="F406" t="s">
        <v>9</v>
      </c>
      <c r="G406" t="s">
        <v>10</v>
      </c>
    </row>
    <row r="407" spans="1:7">
      <c r="A407">
        <v>406</v>
      </c>
      <c r="B407" s="1">
        <v>45486</v>
      </c>
      <c r="C407" s="1">
        <v>45487</v>
      </c>
      <c r="D407">
        <v>1</v>
      </c>
      <c r="E407" t="s">
        <v>11</v>
      </c>
      <c r="F407" t="s">
        <v>12</v>
      </c>
      <c r="G407" t="s">
        <v>10</v>
      </c>
    </row>
    <row r="408" spans="1:7">
      <c r="A408">
        <v>407</v>
      </c>
      <c r="B408" s="1">
        <v>45477</v>
      </c>
      <c r="C408" s="1">
        <v>45480</v>
      </c>
      <c r="D408">
        <v>3</v>
      </c>
      <c r="E408" t="s">
        <v>14</v>
      </c>
      <c r="F408" t="s">
        <v>9</v>
      </c>
      <c r="G408" t="s">
        <v>10</v>
      </c>
    </row>
    <row r="409" spans="1:7">
      <c r="A409">
        <v>408</v>
      </c>
      <c r="B409" s="1">
        <v>45500</v>
      </c>
      <c r="C409" s="1">
        <v>45505</v>
      </c>
      <c r="D409">
        <v>5</v>
      </c>
      <c r="E409" t="s">
        <v>11</v>
      </c>
      <c r="F409" t="s">
        <v>9</v>
      </c>
      <c r="G409" t="s">
        <v>13</v>
      </c>
    </row>
    <row r="410" spans="1:7">
      <c r="A410">
        <v>409</v>
      </c>
      <c r="B410" s="1">
        <v>45474</v>
      </c>
      <c r="C410" s="1">
        <v>45475</v>
      </c>
      <c r="D410">
        <v>1</v>
      </c>
      <c r="E410" t="s">
        <v>11</v>
      </c>
      <c r="F410" t="s">
        <v>9</v>
      </c>
      <c r="G410" t="s">
        <v>10</v>
      </c>
    </row>
    <row r="411" spans="1:7">
      <c r="A411">
        <v>410</v>
      </c>
      <c r="B411" s="1">
        <v>45502</v>
      </c>
      <c r="C411" s="1">
        <v>45504</v>
      </c>
      <c r="D411">
        <v>2</v>
      </c>
      <c r="E411" t="s">
        <v>14</v>
      </c>
      <c r="F411" t="s">
        <v>15</v>
      </c>
      <c r="G411" t="s">
        <v>10</v>
      </c>
    </row>
    <row r="412" spans="1:7">
      <c r="A412">
        <v>411</v>
      </c>
      <c r="B412" s="1">
        <v>45499</v>
      </c>
      <c r="C412" s="1">
        <v>45502</v>
      </c>
      <c r="D412">
        <v>3</v>
      </c>
      <c r="E412" t="s">
        <v>11</v>
      </c>
      <c r="F412" t="s">
        <v>12</v>
      </c>
      <c r="G412" t="s">
        <v>10</v>
      </c>
    </row>
    <row r="413" spans="1:7">
      <c r="A413">
        <v>412</v>
      </c>
      <c r="B413" s="1">
        <v>45494</v>
      </c>
      <c r="C413" s="1">
        <v>45499</v>
      </c>
      <c r="D413">
        <v>5</v>
      </c>
      <c r="E413" t="s">
        <v>11</v>
      </c>
      <c r="F413" t="s">
        <v>9</v>
      </c>
      <c r="G413" t="s">
        <v>13</v>
      </c>
    </row>
    <row r="414" spans="1:7">
      <c r="A414">
        <v>413</v>
      </c>
      <c r="B414" s="1">
        <v>45496</v>
      </c>
      <c r="C414" s="1">
        <v>45501</v>
      </c>
      <c r="D414">
        <v>5</v>
      </c>
      <c r="E414" t="s">
        <v>14</v>
      </c>
      <c r="F414" t="s">
        <v>12</v>
      </c>
      <c r="G414" t="s">
        <v>13</v>
      </c>
    </row>
    <row r="415" spans="1:7">
      <c r="A415">
        <v>414</v>
      </c>
      <c r="B415" s="1">
        <v>45477</v>
      </c>
      <c r="C415" s="1">
        <v>45479</v>
      </c>
      <c r="D415">
        <v>2</v>
      </c>
      <c r="E415" t="s">
        <v>11</v>
      </c>
      <c r="F415" t="s">
        <v>9</v>
      </c>
      <c r="G415" t="s">
        <v>10</v>
      </c>
    </row>
    <row r="416" spans="1:7">
      <c r="A416">
        <v>415</v>
      </c>
      <c r="B416" s="1">
        <v>45489</v>
      </c>
      <c r="C416" s="1">
        <v>45491</v>
      </c>
      <c r="D416">
        <v>2</v>
      </c>
      <c r="E416" t="s">
        <v>8</v>
      </c>
      <c r="F416" t="s">
        <v>15</v>
      </c>
      <c r="G416" t="s">
        <v>10</v>
      </c>
    </row>
    <row r="417" spans="1:7">
      <c r="A417">
        <v>416</v>
      </c>
      <c r="B417" s="1">
        <v>45481</v>
      </c>
      <c r="C417" s="1">
        <v>45485</v>
      </c>
      <c r="D417">
        <v>4</v>
      </c>
      <c r="E417" t="s">
        <v>14</v>
      </c>
      <c r="F417" t="s">
        <v>15</v>
      </c>
      <c r="G417" t="s">
        <v>13</v>
      </c>
    </row>
    <row r="418" spans="1:7">
      <c r="A418">
        <v>417</v>
      </c>
      <c r="B418" s="1">
        <v>45478</v>
      </c>
      <c r="C418" s="1">
        <v>45481</v>
      </c>
      <c r="D418">
        <v>3</v>
      </c>
      <c r="E418" t="s">
        <v>14</v>
      </c>
      <c r="F418" t="s">
        <v>15</v>
      </c>
      <c r="G418" t="s">
        <v>10</v>
      </c>
    </row>
    <row r="419" spans="1:7">
      <c r="A419">
        <v>418</v>
      </c>
      <c r="B419" s="1">
        <v>45483</v>
      </c>
      <c r="C419" s="1">
        <v>45484</v>
      </c>
      <c r="D419">
        <v>1</v>
      </c>
      <c r="E419" t="s">
        <v>14</v>
      </c>
      <c r="F419" t="s">
        <v>12</v>
      </c>
      <c r="G419" t="s">
        <v>10</v>
      </c>
    </row>
    <row r="420" spans="1:7">
      <c r="A420">
        <v>419</v>
      </c>
      <c r="B420" s="1">
        <v>45477</v>
      </c>
      <c r="C420" s="1">
        <v>45478</v>
      </c>
      <c r="D420">
        <v>1</v>
      </c>
      <c r="E420" t="s">
        <v>11</v>
      </c>
      <c r="F420" t="s">
        <v>9</v>
      </c>
      <c r="G420" t="s">
        <v>10</v>
      </c>
    </row>
    <row r="421" spans="1:7">
      <c r="A421">
        <v>420</v>
      </c>
      <c r="B421" s="1">
        <v>45483</v>
      </c>
      <c r="C421" s="1">
        <v>45487</v>
      </c>
      <c r="D421">
        <v>4</v>
      </c>
      <c r="E421" t="s">
        <v>14</v>
      </c>
      <c r="F421" t="s">
        <v>12</v>
      </c>
      <c r="G421" t="s">
        <v>13</v>
      </c>
    </row>
    <row r="422" spans="1:7">
      <c r="A422">
        <v>421</v>
      </c>
      <c r="B422" s="1">
        <v>45475</v>
      </c>
      <c r="C422" s="1">
        <v>45478</v>
      </c>
      <c r="D422">
        <v>3</v>
      </c>
      <c r="E422" t="s">
        <v>11</v>
      </c>
      <c r="F422" t="s">
        <v>12</v>
      </c>
      <c r="G422" t="s">
        <v>10</v>
      </c>
    </row>
    <row r="423" spans="1:7">
      <c r="A423">
        <v>422</v>
      </c>
      <c r="B423" s="1">
        <v>45481</v>
      </c>
      <c r="C423" s="1">
        <v>45486</v>
      </c>
      <c r="D423">
        <v>5</v>
      </c>
      <c r="E423" t="s">
        <v>14</v>
      </c>
      <c r="F423" t="s">
        <v>12</v>
      </c>
      <c r="G423" t="s">
        <v>13</v>
      </c>
    </row>
    <row r="424" spans="1:7">
      <c r="A424">
        <v>423</v>
      </c>
      <c r="B424" s="1">
        <v>45496</v>
      </c>
      <c r="C424" s="1">
        <v>45498</v>
      </c>
      <c r="D424">
        <v>2</v>
      </c>
      <c r="E424" t="s">
        <v>14</v>
      </c>
      <c r="F424" t="s">
        <v>12</v>
      </c>
      <c r="G424" t="s">
        <v>10</v>
      </c>
    </row>
    <row r="425" spans="1:7">
      <c r="A425">
        <v>424</v>
      </c>
      <c r="B425" s="1">
        <v>45502</v>
      </c>
      <c r="C425" s="1">
        <v>45506</v>
      </c>
      <c r="D425">
        <v>4</v>
      </c>
      <c r="E425" t="s">
        <v>14</v>
      </c>
      <c r="F425" t="s">
        <v>12</v>
      </c>
      <c r="G425" t="s">
        <v>13</v>
      </c>
    </row>
    <row r="426" spans="1:7">
      <c r="A426">
        <v>425</v>
      </c>
      <c r="B426" s="1">
        <v>45479</v>
      </c>
      <c r="C426" s="1">
        <v>45482</v>
      </c>
      <c r="D426">
        <v>3</v>
      </c>
      <c r="E426" t="s">
        <v>11</v>
      </c>
      <c r="F426" t="s">
        <v>9</v>
      </c>
      <c r="G426" t="s">
        <v>10</v>
      </c>
    </row>
    <row r="427" spans="1:7">
      <c r="A427">
        <v>426</v>
      </c>
      <c r="B427" s="1">
        <v>45478</v>
      </c>
      <c r="C427" s="1">
        <v>45480</v>
      </c>
      <c r="D427">
        <v>2</v>
      </c>
      <c r="E427" t="s">
        <v>8</v>
      </c>
      <c r="F427" t="s">
        <v>12</v>
      </c>
      <c r="G427" t="s">
        <v>10</v>
      </c>
    </row>
    <row r="428" spans="1:7">
      <c r="A428">
        <v>427</v>
      </c>
      <c r="B428" s="1">
        <v>45488</v>
      </c>
      <c r="C428" s="1">
        <v>45489</v>
      </c>
      <c r="D428">
        <v>1</v>
      </c>
      <c r="E428" t="s">
        <v>11</v>
      </c>
      <c r="F428" t="s">
        <v>12</v>
      </c>
      <c r="G428" t="s">
        <v>10</v>
      </c>
    </row>
    <row r="429" spans="1:7">
      <c r="A429">
        <v>428</v>
      </c>
      <c r="B429" s="1">
        <v>45488</v>
      </c>
      <c r="C429" s="1">
        <v>45490</v>
      </c>
      <c r="D429">
        <v>2</v>
      </c>
      <c r="E429" t="s">
        <v>11</v>
      </c>
      <c r="F429" t="s">
        <v>9</v>
      </c>
      <c r="G429" t="s">
        <v>10</v>
      </c>
    </row>
    <row r="430" spans="1:7">
      <c r="A430">
        <v>429</v>
      </c>
      <c r="B430" s="1">
        <v>45486</v>
      </c>
      <c r="C430" s="1">
        <v>45487</v>
      </c>
      <c r="D430">
        <v>1</v>
      </c>
      <c r="E430" t="s">
        <v>11</v>
      </c>
      <c r="F430" t="s">
        <v>9</v>
      </c>
      <c r="G430" t="s">
        <v>10</v>
      </c>
    </row>
    <row r="431" spans="1:7">
      <c r="A431">
        <v>430</v>
      </c>
      <c r="B431" s="1">
        <v>45474</v>
      </c>
      <c r="C431" s="1">
        <v>45479</v>
      </c>
      <c r="D431">
        <v>5</v>
      </c>
      <c r="E431" t="s">
        <v>11</v>
      </c>
      <c r="F431" t="s">
        <v>12</v>
      </c>
      <c r="G431" t="s">
        <v>13</v>
      </c>
    </row>
    <row r="432" spans="1:7">
      <c r="A432">
        <v>431</v>
      </c>
      <c r="B432" s="1">
        <v>45492</v>
      </c>
      <c r="C432" s="1">
        <v>45495</v>
      </c>
      <c r="D432">
        <v>3</v>
      </c>
      <c r="E432" t="s">
        <v>14</v>
      </c>
      <c r="F432" t="s">
        <v>9</v>
      </c>
      <c r="G432" t="s">
        <v>10</v>
      </c>
    </row>
    <row r="433" spans="1:7">
      <c r="A433">
        <v>432</v>
      </c>
      <c r="B433" s="1">
        <v>45484</v>
      </c>
      <c r="C433" s="1">
        <v>45488</v>
      </c>
      <c r="D433">
        <v>4</v>
      </c>
      <c r="E433" t="s">
        <v>14</v>
      </c>
      <c r="F433" t="s">
        <v>9</v>
      </c>
      <c r="G433" t="s">
        <v>13</v>
      </c>
    </row>
    <row r="434" spans="1:7">
      <c r="A434">
        <v>433</v>
      </c>
      <c r="B434" s="1">
        <v>45477</v>
      </c>
      <c r="C434" s="1">
        <v>45478</v>
      </c>
      <c r="D434">
        <v>1</v>
      </c>
      <c r="E434" t="s">
        <v>11</v>
      </c>
      <c r="F434" t="s">
        <v>12</v>
      </c>
      <c r="G434" t="s">
        <v>10</v>
      </c>
    </row>
    <row r="435" spans="1:7">
      <c r="A435">
        <v>434</v>
      </c>
      <c r="B435" s="1">
        <v>45480</v>
      </c>
      <c r="C435" s="1">
        <v>45483</v>
      </c>
      <c r="D435">
        <v>3</v>
      </c>
      <c r="E435" t="s">
        <v>8</v>
      </c>
      <c r="F435" t="s">
        <v>12</v>
      </c>
      <c r="G435" t="s">
        <v>10</v>
      </c>
    </row>
    <row r="436" spans="1:7">
      <c r="A436">
        <v>435</v>
      </c>
      <c r="B436" s="1">
        <v>45475</v>
      </c>
      <c r="C436" s="1">
        <v>45480</v>
      </c>
      <c r="D436">
        <v>5</v>
      </c>
      <c r="E436" t="s">
        <v>11</v>
      </c>
      <c r="F436" t="s">
        <v>12</v>
      </c>
      <c r="G436" t="s">
        <v>13</v>
      </c>
    </row>
    <row r="437" spans="1:7">
      <c r="A437">
        <v>436</v>
      </c>
      <c r="B437" s="1">
        <v>45499</v>
      </c>
      <c r="C437" s="1">
        <v>45503</v>
      </c>
      <c r="D437">
        <v>4</v>
      </c>
      <c r="E437" t="s">
        <v>8</v>
      </c>
      <c r="F437" t="s">
        <v>12</v>
      </c>
      <c r="G437" t="s">
        <v>13</v>
      </c>
    </row>
    <row r="438" spans="1:7">
      <c r="A438">
        <v>437</v>
      </c>
      <c r="B438" s="1">
        <v>45496</v>
      </c>
      <c r="C438" s="1">
        <v>45499</v>
      </c>
      <c r="D438">
        <v>3</v>
      </c>
      <c r="E438" t="s">
        <v>14</v>
      </c>
      <c r="F438" t="s">
        <v>9</v>
      </c>
      <c r="G438" t="s">
        <v>10</v>
      </c>
    </row>
    <row r="439" spans="1:7">
      <c r="A439">
        <v>438</v>
      </c>
      <c r="B439" s="1">
        <v>45481</v>
      </c>
      <c r="C439" s="1">
        <v>45486</v>
      </c>
      <c r="D439">
        <v>5</v>
      </c>
      <c r="E439" t="s">
        <v>11</v>
      </c>
      <c r="F439" t="s">
        <v>15</v>
      </c>
      <c r="G439" t="s">
        <v>13</v>
      </c>
    </row>
    <row r="440" spans="1:7">
      <c r="A440">
        <v>439</v>
      </c>
      <c r="B440" s="1">
        <v>45482</v>
      </c>
      <c r="C440" s="1">
        <v>45487</v>
      </c>
      <c r="D440">
        <v>5</v>
      </c>
      <c r="E440" t="s">
        <v>11</v>
      </c>
      <c r="F440" t="s">
        <v>12</v>
      </c>
      <c r="G440" t="s">
        <v>13</v>
      </c>
    </row>
    <row r="441" spans="1:7">
      <c r="A441">
        <v>440</v>
      </c>
      <c r="B441" s="1">
        <v>45490</v>
      </c>
      <c r="C441" s="1">
        <v>45493</v>
      </c>
      <c r="D441">
        <v>3</v>
      </c>
      <c r="E441" t="s">
        <v>8</v>
      </c>
      <c r="F441" t="s">
        <v>9</v>
      </c>
      <c r="G441" t="s">
        <v>10</v>
      </c>
    </row>
    <row r="442" spans="1:7">
      <c r="A442">
        <v>441</v>
      </c>
      <c r="B442" s="1">
        <v>45489</v>
      </c>
      <c r="C442" s="1">
        <v>45494</v>
      </c>
      <c r="D442">
        <v>5</v>
      </c>
      <c r="E442" t="s">
        <v>11</v>
      </c>
      <c r="F442" t="s">
        <v>12</v>
      </c>
      <c r="G442" t="s">
        <v>13</v>
      </c>
    </row>
    <row r="443" spans="1:7">
      <c r="A443">
        <v>442</v>
      </c>
      <c r="B443" s="1">
        <v>45502</v>
      </c>
      <c r="C443" s="1">
        <v>45507</v>
      </c>
      <c r="D443">
        <v>5</v>
      </c>
      <c r="E443" t="s">
        <v>11</v>
      </c>
      <c r="F443" t="s">
        <v>9</v>
      </c>
      <c r="G443" t="s">
        <v>13</v>
      </c>
    </row>
    <row r="444" spans="1:7">
      <c r="A444">
        <v>443</v>
      </c>
      <c r="B444" s="1">
        <v>45489</v>
      </c>
      <c r="C444" s="1">
        <v>45493</v>
      </c>
      <c r="D444">
        <v>4</v>
      </c>
      <c r="E444" t="s">
        <v>8</v>
      </c>
      <c r="F444" t="s">
        <v>12</v>
      </c>
      <c r="G444" t="s">
        <v>13</v>
      </c>
    </row>
    <row r="445" spans="1:7">
      <c r="A445">
        <v>444</v>
      </c>
      <c r="B445" s="1">
        <v>45500</v>
      </c>
      <c r="C445" s="1">
        <v>45501</v>
      </c>
      <c r="D445">
        <v>1</v>
      </c>
      <c r="E445" t="s">
        <v>8</v>
      </c>
      <c r="F445" t="s">
        <v>12</v>
      </c>
      <c r="G445" t="s">
        <v>10</v>
      </c>
    </row>
    <row r="446" spans="1:7">
      <c r="A446">
        <v>445</v>
      </c>
      <c r="B446" s="1">
        <v>45476</v>
      </c>
      <c r="C446" s="1">
        <v>45478</v>
      </c>
      <c r="D446">
        <v>2</v>
      </c>
      <c r="E446" t="s">
        <v>8</v>
      </c>
      <c r="F446" t="s">
        <v>9</v>
      </c>
      <c r="G446" t="s">
        <v>10</v>
      </c>
    </row>
    <row r="447" spans="1:7">
      <c r="A447">
        <v>446</v>
      </c>
      <c r="B447" s="1">
        <v>45483</v>
      </c>
      <c r="C447" s="1">
        <v>45486</v>
      </c>
      <c r="D447">
        <v>3</v>
      </c>
      <c r="E447" t="s">
        <v>8</v>
      </c>
      <c r="F447" t="s">
        <v>15</v>
      </c>
      <c r="G447" t="s">
        <v>10</v>
      </c>
    </row>
    <row r="448" spans="1:7">
      <c r="A448">
        <v>447</v>
      </c>
      <c r="B448" s="1">
        <v>45503</v>
      </c>
      <c r="C448" s="1">
        <v>45508</v>
      </c>
      <c r="D448">
        <v>5</v>
      </c>
      <c r="E448" t="s">
        <v>11</v>
      </c>
      <c r="F448" t="s">
        <v>9</v>
      </c>
      <c r="G448" t="s">
        <v>13</v>
      </c>
    </row>
    <row r="449" spans="1:7">
      <c r="A449">
        <v>448</v>
      </c>
      <c r="B449" s="1">
        <v>45477</v>
      </c>
      <c r="C449" s="1">
        <v>45481</v>
      </c>
      <c r="D449">
        <v>4</v>
      </c>
      <c r="E449" t="s">
        <v>11</v>
      </c>
      <c r="F449" t="s">
        <v>12</v>
      </c>
      <c r="G449" t="s">
        <v>13</v>
      </c>
    </row>
    <row r="450" spans="1:7">
      <c r="A450">
        <v>449</v>
      </c>
      <c r="B450" s="1">
        <v>45484</v>
      </c>
      <c r="C450" s="1">
        <v>45487</v>
      </c>
      <c r="D450">
        <v>3</v>
      </c>
      <c r="E450" t="s">
        <v>8</v>
      </c>
      <c r="F450" t="s">
        <v>15</v>
      </c>
      <c r="G450" t="s">
        <v>10</v>
      </c>
    </row>
    <row r="451" spans="1:7">
      <c r="A451">
        <v>450</v>
      </c>
      <c r="B451" s="1">
        <v>45504</v>
      </c>
      <c r="C451" s="1">
        <v>45507</v>
      </c>
      <c r="D451">
        <v>3</v>
      </c>
      <c r="E451" t="s">
        <v>14</v>
      </c>
      <c r="F451" t="s">
        <v>12</v>
      </c>
      <c r="G451" t="s">
        <v>10</v>
      </c>
    </row>
    <row r="452" spans="1:7">
      <c r="A452">
        <v>451</v>
      </c>
      <c r="B452" s="1">
        <v>45501</v>
      </c>
      <c r="C452" s="1">
        <v>45504</v>
      </c>
      <c r="D452">
        <v>3</v>
      </c>
      <c r="E452" t="s">
        <v>8</v>
      </c>
      <c r="F452" t="s">
        <v>12</v>
      </c>
      <c r="G452" t="s">
        <v>10</v>
      </c>
    </row>
    <row r="453" spans="1:7">
      <c r="A453">
        <v>452</v>
      </c>
      <c r="B453" s="1">
        <v>45492</v>
      </c>
      <c r="C453" s="1">
        <v>45496</v>
      </c>
      <c r="D453">
        <v>4</v>
      </c>
      <c r="E453" t="s">
        <v>11</v>
      </c>
      <c r="F453" t="s">
        <v>12</v>
      </c>
      <c r="G453" t="s">
        <v>13</v>
      </c>
    </row>
    <row r="454" spans="1:7">
      <c r="A454">
        <v>453</v>
      </c>
      <c r="B454" s="1">
        <v>45497</v>
      </c>
      <c r="C454" s="1">
        <v>45498</v>
      </c>
      <c r="D454">
        <v>1</v>
      </c>
      <c r="E454" t="s">
        <v>11</v>
      </c>
      <c r="F454" t="s">
        <v>15</v>
      </c>
      <c r="G454" t="s">
        <v>10</v>
      </c>
    </row>
    <row r="455" spans="1:7">
      <c r="A455">
        <v>454</v>
      </c>
      <c r="B455" s="1">
        <v>45475</v>
      </c>
      <c r="C455" s="1">
        <v>45480</v>
      </c>
      <c r="D455">
        <v>5</v>
      </c>
      <c r="E455" t="s">
        <v>14</v>
      </c>
      <c r="F455" t="s">
        <v>12</v>
      </c>
      <c r="G455" t="s">
        <v>13</v>
      </c>
    </row>
    <row r="456" spans="1:7">
      <c r="A456">
        <v>455</v>
      </c>
      <c r="B456" s="1">
        <v>45496</v>
      </c>
      <c r="C456" s="1">
        <v>45500</v>
      </c>
      <c r="D456">
        <v>4</v>
      </c>
      <c r="E456" t="s">
        <v>14</v>
      </c>
      <c r="F456" t="s">
        <v>9</v>
      </c>
      <c r="G456" t="s">
        <v>13</v>
      </c>
    </row>
    <row r="457" spans="1:7">
      <c r="A457">
        <v>456</v>
      </c>
      <c r="B457" s="1">
        <v>45488</v>
      </c>
      <c r="C457" s="1">
        <v>45491</v>
      </c>
      <c r="D457">
        <v>3</v>
      </c>
      <c r="E457" t="s">
        <v>11</v>
      </c>
      <c r="F457" t="s">
        <v>9</v>
      </c>
      <c r="G457" t="s">
        <v>10</v>
      </c>
    </row>
    <row r="458" spans="1:7">
      <c r="A458">
        <v>457</v>
      </c>
      <c r="B458" s="1">
        <v>45479</v>
      </c>
      <c r="C458" s="1">
        <v>45483</v>
      </c>
      <c r="D458">
        <v>4</v>
      </c>
      <c r="E458" t="s">
        <v>11</v>
      </c>
      <c r="F458" t="s">
        <v>15</v>
      </c>
      <c r="G458" t="s">
        <v>13</v>
      </c>
    </row>
    <row r="459" spans="1:7">
      <c r="A459">
        <v>458</v>
      </c>
      <c r="B459" s="1">
        <v>45488</v>
      </c>
      <c r="C459" s="1">
        <v>45489</v>
      </c>
      <c r="D459">
        <v>1</v>
      </c>
      <c r="E459" t="s">
        <v>8</v>
      </c>
      <c r="F459" t="s">
        <v>9</v>
      </c>
      <c r="G459" t="s">
        <v>10</v>
      </c>
    </row>
    <row r="460" spans="1:7">
      <c r="A460">
        <v>459</v>
      </c>
      <c r="B460" s="1">
        <v>45486</v>
      </c>
      <c r="C460" s="1">
        <v>45490</v>
      </c>
      <c r="D460">
        <v>4</v>
      </c>
      <c r="E460" t="s">
        <v>11</v>
      </c>
      <c r="F460" t="s">
        <v>15</v>
      </c>
      <c r="G460" t="s">
        <v>13</v>
      </c>
    </row>
    <row r="461" spans="1:7">
      <c r="A461">
        <v>460</v>
      </c>
      <c r="B461" s="1">
        <v>45474</v>
      </c>
      <c r="C461" s="1">
        <v>45476</v>
      </c>
      <c r="D461">
        <v>2</v>
      </c>
      <c r="E461" t="s">
        <v>8</v>
      </c>
      <c r="F461" t="s">
        <v>15</v>
      </c>
      <c r="G461" t="s">
        <v>10</v>
      </c>
    </row>
    <row r="462" spans="1:7">
      <c r="A462">
        <v>461</v>
      </c>
      <c r="B462" s="1">
        <v>45496</v>
      </c>
      <c r="C462" s="1">
        <v>45501</v>
      </c>
      <c r="D462">
        <v>5</v>
      </c>
      <c r="E462" t="s">
        <v>11</v>
      </c>
      <c r="F462" t="s">
        <v>15</v>
      </c>
      <c r="G462" t="s">
        <v>13</v>
      </c>
    </row>
    <row r="463" spans="1:7">
      <c r="A463">
        <v>462</v>
      </c>
      <c r="B463" s="1">
        <v>45504</v>
      </c>
      <c r="C463" s="1">
        <v>45505</v>
      </c>
      <c r="D463">
        <v>1</v>
      </c>
      <c r="E463" t="s">
        <v>8</v>
      </c>
      <c r="F463" t="s">
        <v>15</v>
      </c>
      <c r="G463" t="s">
        <v>10</v>
      </c>
    </row>
    <row r="464" spans="1:7">
      <c r="A464">
        <v>463</v>
      </c>
      <c r="B464" s="1">
        <v>45497</v>
      </c>
      <c r="C464" s="1">
        <v>45498</v>
      </c>
      <c r="D464">
        <v>1</v>
      </c>
      <c r="E464" t="s">
        <v>8</v>
      </c>
      <c r="F464" t="s">
        <v>12</v>
      </c>
      <c r="G464" t="s">
        <v>10</v>
      </c>
    </row>
    <row r="465" spans="1:7">
      <c r="A465">
        <v>464</v>
      </c>
      <c r="B465" s="1">
        <v>45487</v>
      </c>
      <c r="C465" s="1">
        <v>45492</v>
      </c>
      <c r="D465">
        <v>5</v>
      </c>
      <c r="E465" t="s">
        <v>8</v>
      </c>
      <c r="F465" t="s">
        <v>9</v>
      </c>
      <c r="G465" t="s">
        <v>13</v>
      </c>
    </row>
    <row r="466" spans="1:7">
      <c r="A466">
        <v>465</v>
      </c>
      <c r="B466" s="1">
        <v>45490</v>
      </c>
      <c r="C466" s="1">
        <v>45491</v>
      </c>
      <c r="D466">
        <v>1</v>
      </c>
      <c r="E466" t="s">
        <v>11</v>
      </c>
      <c r="F466" t="s">
        <v>9</v>
      </c>
      <c r="G466" t="s">
        <v>10</v>
      </c>
    </row>
    <row r="467" spans="1:7">
      <c r="A467">
        <v>466</v>
      </c>
      <c r="B467" s="1">
        <v>45500</v>
      </c>
      <c r="C467" s="1">
        <v>45505</v>
      </c>
      <c r="D467">
        <v>5</v>
      </c>
      <c r="E467" t="s">
        <v>8</v>
      </c>
      <c r="F467" t="s">
        <v>15</v>
      </c>
      <c r="G467" t="s">
        <v>13</v>
      </c>
    </row>
    <row r="468" spans="1:7">
      <c r="A468">
        <v>467</v>
      </c>
      <c r="B468" s="1">
        <v>45478</v>
      </c>
      <c r="C468" s="1">
        <v>45480</v>
      </c>
      <c r="D468">
        <v>2</v>
      </c>
      <c r="E468" t="s">
        <v>14</v>
      </c>
      <c r="F468" t="s">
        <v>9</v>
      </c>
      <c r="G468" t="s">
        <v>10</v>
      </c>
    </row>
    <row r="469" spans="1:7">
      <c r="A469">
        <v>468</v>
      </c>
      <c r="B469" s="1">
        <v>45488</v>
      </c>
      <c r="C469" s="1">
        <v>45493</v>
      </c>
      <c r="D469">
        <v>5</v>
      </c>
      <c r="E469" t="s">
        <v>14</v>
      </c>
      <c r="F469" t="s">
        <v>12</v>
      </c>
      <c r="G469" t="s">
        <v>13</v>
      </c>
    </row>
    <row r="470" spans="1:7">
      <c r="A470">
        <v>469</v>
      </c>
      <c r="B470" s="1">
        <v>45501</v>
      </c>
      <c r="C470" s="1">
        <v>45505</v>
      </c>
      <c r="D470">
        <v>4</v>
      </c>
      <c r="E470" t="s">
        <v>8</v>
      </c>
      <c r="F470" t="s">
        <v>15</v>
      </c>
      <c r="G470" t="s">
        <v>13</v>
      </c>
    </row>
    <row r="471" spans="1:7">
      <c r="A471">
        <v>470</v>
      </c>
      <c r="B471" s="1">
        <v>45498</v>
      </c>
      <c r="C471" s="1">
        <v>45502</v>
      </c>
      <c r="D471">
        <v>4</v>
      </c>
      <c r="E471" t="s">
        <v>11</v>
      </c>
      <c r="F471" t="s">
        <v>15</v>
      </c>
      <c r="G471" t="s">
        <v>13</v>
      </c>
    </row>
    <row r="472" spans="1:7">
      <c r="A472">
        <v>471</v>
      </c>
      <c r="B472" s="1">
        <v>45499</v>
      </c>
      <c r="C472" s="1">
        <v>45501</v>
      </c>
      <c r="D472">
        <v>2</v>
      </c>
      <c r="E472" t="s">
        <v>14</v>
      </c>
      <c r="F472" t="s">
        <v>15</v>
      </c>
      <c r="G472" t="s">
        <v>10</v>
      </c>
    </row>
    <row r="473" spans="1:7">
      <c r="A473">
        <v>472</v>
      </c>
      <c r="B473" s="1">
        <v>45504</v>
      </c>
      <c r="C473" s="1">
        <v>45505</v>
      </c>
      <c r="D473">
        <v>1</v>
      </c>
      <c r="E473" t="s">
        <v>14</v>
      </c>
      <c r="F473" t="s">
        <v>12</v>
      </c>
      <c r="G473" t="s">
        <v>10</v>
      </c>
    </row>
    <row r="474" spans="1:7">
      <c r="A474">
        <v>473</v>
      </c>
      <c r="B474" s="1">
        <v>45490</v>
      </c>
      <c r="C474" s="1">
        <v>45491</v>
      </c>
      <c r="D474">
        <v>1</v>
      </c>
      <c r="E474" t="s">
        <v>11</v>
      </c>
      <c r="F474" t="s">
        <v>15</v>
      </c>
      <c r="G474" t="s">
        <v>10</v>
      </c>
    </row>
    <row r="475" spans="1:7">
      <c r="A475">
        <v>474</v>
      </c>
      <c r="B475" s="1">
        <v>45479</v>
      </c>
      <c r="C475" s="1">
        <v>45483</v>
      </c>
      <c r="D475">
        <v>4</v>
      </c>
      <c r="E475" t="s">
        <v>11</v>
      </c>
      <c r="F475" t="s">
        <v>15</v>
      </c>
      <c r="G475" t="s">
        <v>13</v>
      </c>
    </row>
    <row r="476" spans="1:7">
      <c r="A476">
        <v>475</v>
      </c>
      <c r="B476" s="1">
        <v>45481</v>
      </c>
      <c r="C476" s="1">
        <v>45483</v>
      </c>
      <c r="D476">
        <v>2</v>
      </c>
      <c r="E476" t="s">
        <v>11</v>
      </c>
      <c r="F476" t="s">
        <v>15</v>
      </c>
      <c r="G476" t="s">
        <v>10</v>
      </c>
    </row>
    <row r="477" spans="1:7">
      <c r="A477">
        <v>476</v>
      </c>
      <c r="B477" s="1">
        <v>45477</v>
      </c>
      <c r="C477" s="1">
        <v>45482</v>
      </c>
      <c r="D477">
        <v>5</v>
      </c>
      <c r="E477" t="s">
        <v>8</v>
      </c>
      <c r="F477" t="s">
        <v>9</v>
      </c>
      <c r="G477" t="s">
        <v>13</v>
      </c>
    </row>
    <row r="478" spans="1:7">
      <c r="A478">
        <v>477</v>
      </c>
      <c r="B478" s="1">
        <v>45501</v>
      </c>
      <c r="C478" s="1">
        <v>45504</v>
      </c>
      <c r="D478">
        <v>3</v>
      </c>
      <c r="E478" t="s">
        <v>14</v>
      </c>
      <c r="F478" t="s">
        <v>15</v>
      </c>
      <c r="G478" t="s">
        <v>10</v>
      </c>
    </row>
    <row r="479" spans="1:7">
      <c r="A479">
        <v>478</v>
      </c>
      <c r="B479" s="1">
        <v>45480</v>
      </c>
      <c r="C479" s="1">
        <v>45481</v>
      </c>
      <c r="D479">
        <v>1</v>
      </c>
      <c r="E479" t="s">
        <v>8</v>
      </c>
      <c r="F479" t="s">
        <v>15</v>
      </c>
      <c r="G479" t="s">
        <v>10</v>
      </c>
    </row>
    <row r="480" spans="1:7">
      <c r="A480">
        <v>479</v>
      </c>
      <c r="B480" s="1">
        <v>45486</v>
      </c>
      <c r="C480" s="1">
        <v>45490</v>
      </c>
      <c r="D480">
        <v>4</v>
      </c>
      <c r="E480" t="s">
        <v>14</v>
      </c>
      <c r="F480" t="s">
        <v>12</v>
      </c>
      <c r="G480" t="s">
        <v>13</v>
      </c>
    </row>
    <row r="481" spans="1:7">
      <c r="A481">
        <v>480</v>
      </c>
      <c r="B481" s="1">
        <v>45476</v>
      </c>
      <c r="C481" s="1">
        <v>45478</v>
      </c>
      <c r="D481">
        <v>2</v>
      </c>
      <c r="E481" t="s">
        <v>11</v>
      </c>
      <c r="F481" t="s">
        <v>9</v>
      </c>
      <c r="G481" t="s">
        <v>10</v>
      </c>
    </row>
    <row r="482" spans="1:7">
      <c r="A482">
        <v>481</v>
      </c>
      <c r="B482" s="1">
        <v>45484</v>
      </c>
      <c r="C482" s="1">
        <v>45485</v>
      </c>
      <c r="D482">
        <v>1</v>
      </c>
      <c r="E482" t="s">
        <v>14</v>
      </c>
      <c r="F482" t="s">
        <v>12</v>
      </c>
      <c r="G482" t="s">
        <v>10</v>
      </c>
    </row>
    <row r="483" spans="1:7">
      <c r="A483">
        <v>482</v>
      </c>
      <c r="B483" s="1">
        <v>45478</v>
      </c>
      <c r="C483" s="1">
        <v>45479</v>
      </c>
      <c r="D483">
        <v>1</v>
      </c>
      <c r="E483" t="s">
        <v>11</v>
      </c>
      <c r="F483" t="s">
        <v>15</v>
      </c>
      <c r="G483" t="s">
        <v>10</v>
      </c>
    </row>
    <row r="484" spans="1:7">
      <c r="A484">
        <v>483</v>
      </c>
      <c r="B484" s="1">
        <v>45493</v>
      </c>
      <c r="C484" s="1">
        <v>45496</v>
      </c>
      <c r="D484">
        <v>3</v>
      </c>
      <c r="E484" t="s">
        <v>14</v>
      </c>
      <c r="F484" t="s">
        <v>12</v>
      </c>
      <c r="G484" t="s">
        <v>10</v>
      </c>
    </row>
    <row r="485" spans="1:7">
      <c r="A485">
        <v>484</v>
      </c>
      <c r="B485" s="1">
        <v>45491</v>
      </c>
      <c r="C485" s="1">
        <v>45492</v>
      </c>
      <c r="D485">
        <v>1</v>
      </c>
      <c r="E485" t="s">
        <v>11</v>
      </c>
      <c r="F485" t="s">
        <v>12</v>
      </c>
      <c r="G485" t="s">
        <v>10</v>
      </c>
    </row>
    <row r="486" spans="1:7">
      <c r="A486">
        <v>485</v>
      </c>
      <c r="B486" s="1">
        <v>45489</v>
      </c>
      <c r="C486" s="1">
        <v>45493</v>
      </c>
      <c r="D486">
        <v>4</v>
      </c>
      <c r="E486" t="s">
        <v>8</v>
      </c>
      <c r="F486" t="s">
        <v>9</v>
      </c>
      <c r="G486" t="s">
        <v>13</v>
      </c>
    </row>
    <row r="487" spans="1:7">
      <c r="A487">
        <v>486</v>
      </c>
      <c r="B487" s="1">
        <v>45479</v>
      </c>
      <c r="C487" s="1">
        <v>45483</v>
      </c>
      <c r="D487">
        <v>4</v>
      </c>
      <c r="E487" t="s">
        <v>8</v>
      </c>
      <c r="F487" t="s">
        <v>9</v>
      </c>
      <c r="G487" t="s">
        <v>13</v>
      </c>
    </row>
    <row r="488" spans="1:7">
      <c r="A488">
        <v>487</v>
      </c>
      <c r="B488" s="1">
        <v>45474</v>
      </c>
      <c r="C488" s="1">
        <v>45476</v>
      </c>
      <c r="D488">
        <v>2</v>
      </c>
      <c r="E488" t="s">
        <v>14</v>
      </c>
      <c r="F488" t="s">
        <v>9</v>
      </c>
      <c r="G488" t="s">
        <v>10</v>
      </c>
    </row>
    <row r="489" spans="1:7">
      <c r="A489">
        <v>488</v>
      </c>
      <c r="B489" s="1">
        <v>45474</v>
      </c>
      <c r="C489" s="1">
        <v>45479</v>
      </c>
      <c r="D489">
        <v>5</v>
      </c>
      <c r="E489" t="s">
        <v>11</v>
      </c>
      <c r="F489" t="s">
        <v>9</v>
      </c>
      <c r="G489" t="s">
        <v>13</v>
      </c>
    </row>
    <row r="490" spans="1:7">
      <c r="A490">
        <v>489</v>
      </c>
      <c r="B490" s="1">
        <v>45493</v>
      </c>
      <c r="C490" s="1">
        <v>45495</v>
      </c>
      <c r="D490">
        <v>2</v>
      </c>
      <c r="E490" t="s">
        <v>14</v>
      </c>
      <c r="F490" t="s">
        <v>15</v>
      </c>
      <c r="G490" t="s">
        <v>10</v>
      </c>
    </row>
    <row r="491" spans="1:7">
      <c r="A491">
        <v>490</v>
      </c>
      <c r="B491" s="1">
        <v>45474</v>
      </c>
      <c r="C491" s="1">
        <v>45476</v>
      </c>
      <c r="D491">
        <v>2</v>
      </c>
      <c r="E491" t="s">
        <v>11</v>
      </c>
      <c r="F491" t="s">
        <v>15</v>
      </c>
      <c r="G491" t="s">
        <v>10</v>
      </c>
    </row>
    <row r="492" spans="1:7">
      <c r="A492">
        <v>491</v>
      </c>
      <c r="B492" s="1">
        <v>45501</v>
      </c>
      <c r="C492" s="1">
        <v>45504</v>
      </c>
      <c r="D492">
        <v>3</v>
      </c>
      <c r="E492" t="s">
        <v>8</v>
      </c>
      <c r="F492" t="s">
        <v>15</v>
      </c>
      <c r="G492" t="s">
        <v>10</v>
      </c>
    </row>
    <row r="493" spans="1:7">
      <c r="A493">
        <v>492</v>
      </c>
      <c r="B493" s="1">
        <v>45491</v>
      </c>
      <c r="C493" s="1">
        <v>45494</v>
      </c>
      <c r="D493">
        <v>3</v>
      </c>
      <c r="E493" t="s">
        <v>11</v>
      </c>
      <c r="F493" t="s">
        <v>12</v>
      </c>
      <c r="G493" t="s">
        <v>10</v>
      </c>
    </row>
    <row r="494" spans="1:7">
      <c r="A494">
        <v>493</v>
      </c>
      <c r="B494" s="1">
        <v>45496</v>
      </c>
      <c r="C494" s="1">
        <v>45501</v>
      </c>
      <c r="D494">
        <v>5</v>
      </c>
      <c r="E494" t="s">
        <v>11</v>
      </c>
      <c r="F494" t="s">
        <v>9</v>
      </c>
      <c r="G494" t="s">
        <v>13</v>
      </c>
    </row>
    <row r="495" spans="1:7">
      <c r="A495">
        <v>494</v>
      </c>
      <c r="B495" s="1">
        <v>45477</v>
      </c>
      <c r="C495" s="1">
        <v>45480</v>
      </c>
      <c r="D495">
        <v>3</v>
      </c>
      <c r="E495" t="s">
        <v>8</v>
      </c>
      <c r="F495" t="s">
        <v>12</v>
      </c>
      <c r="G495" t="s">
        <v>10</v>
      </c>
    </row>
    <row r="496" spans="1:7">
      <c r="A496">
        <v>495</v>
      </c>
      <c r="B496" s="1">
        <v>45484</v>
      </c>
      <c r="C496" s="1">
        <v>45488</v>
      </c>
      <c r="D496">
        <v>4</v>
      </c>
      <c r="E496" t="s">
        <v>14</v>
      </c>
      <c r="F496" t="s">
        <v>9</v>
      </c>
      <c r="G496" t="s">
        <v>13</v>
      </c>
    </row>
    <row r="497" spans="1:7">
      <c r="A497">
        <v>496</v>
      </c>
      <c r="B497" s="1">
        <v>45488</v>
      </c>
      <c r="C497" s="1">
        <v>45492</v>
      </c>
      <c r="D497">
        <v>4</v>
      </c>
      <c r="E497" t="s">
        <v>11</v>
      </c>
      <c r="F497" t="s">
        <v>12</v>
      </c>
      <c r="G497" t="s">
        <v>13</v>
      </c>
    </row>
    <row r="498" spans="1:7">
      <c r="A498">
        <v>497</v>
      </c>
      <c r="B498" s="1">
        <v>45484</v>
      </c>
      <c r="C498" s="1">
        <v>45487</v>
      </c>
      <c r="D498">
        <v>3</v>
      </c>
      <c r="E498" t="s">
        <v>14</v>
      </c>
      <c r="F498" t="s">
        <v>9</v>
      </c>
      <c r="G498" t="s">
        <v>10</v>
      </c>
    </row>
    <row r="499" spans="1:7">
      <c r="A499">
        <v>498</v>
      </c>
      <c r="B499" s="1">
        <v>45490</v>
      </c>
      <c r="C499" s="1">
        <v>45491</v>
      </c>
      <c r="D499">
        <v>1</v>
      </c>
      <c r="E499" t="s">
        <v>8</v>
      </c>
      <c r="F499" t="s">
        <v>9</v>
      </c>
      <c r="G499" t="s">
        <v>10</v>
      </c>
    </row>
    <row r="500" spans="1:7">
      <c r="A500">
        <v>499</v>
      </c>
      <c r="B500" s="1">
        <v>45497</v>
      </c>
      <c r="C500" s="1">
        <v>45502</v>
      </c>
      <c r="D500">
        <v>5</v>
      </c>
      <c r="E500" t="s">
        <v>14</v>
      </c>
      <c r="F500" t="s">
        <v>15</v>
      </c>
      <c r="G500" t="s">
        <v>13</v>
      </c>
    </row>
    <row r="501" spans="1:7">
      <c r="A501">
        <v>500</v>
      </c>
      <c r="B501" s="1">
        <v>45475</v>
      </c>
      <c r="C501" s="1">
        <v>45480</v>
      </c>
      <c r="D501">
        <v>5</v>
      </c>
      <c r="E501" t="s">
        <v>11</v>
      </c>
      <c r="F501" t="s">
        <v>12</v>
      </c>
      <c r="G501" t="s">
        <v>13</v>
      </c>
    </row>
    <row r="502" spans="1:7">
      <c r="A502">
        <v>501</v>
      </c>
      <c r="B502" s="1">
        <v>45498</v>
      </c>
      <c r="C502" s="1">
        <v>45503</v>
      </c>
      <c r="D502">
        <v>5</v>
      </c>
      <c r="E502" t="s">
        <v>14</v>
      </c>
      <c r="F502" t="s">
        <v>9</v>
      </c>
      <c r="G502" t="s">
        <v>13</v>
      </c>
    </row>
    <row r="503" spans="1:7">
      <c r="A503">
        <v>502</v>
      </c>
      <c r="B503" s="1">
        <v>45474</v>
      </c>
      <c r="C503" s="1">
        <v>45478</v>
      </c>
      <c r="D503">
        <v>4</v>
      </c>
      <c r="E503" t="s">
        <v>8</v>
      </c>
      <c r="F503" t="s">
        <v>9</v>
      </c>
      <c r="G503" t="s">
        <v>13</v>
      </c>
    </row>
    <row r="504" spans="1:7">
      <c r="A504">
        <v>503</v>
      </c>
      <c r="B504" s="1">
        <v>45495</v>
      </c>
      <c r="C504" s="1">
        <v>45498</v>
      </c>
      <c r="D504">
        <v>3</v>
      </c>
      <c r="E504" t="s">
        <v>11</v>
      </c>
      <c r="F504" t="s">
        <v>12</v>
      </c>
      <c r="G504" t="s">
        <v>10</v>
      </c>
    </row>
    <row r="505" spans="1:7">
      <c r="A505">
        <v>504</v>
      </c>
      <c r="B505" s="1">
        <v>45489</v>
      </c>
      <c r="C505" s="1">
        <v>45493</v>
      </c>
      <c r="D505">
        <v>4</v>
      </c>
      <c r="E505" t="s">
        <v>8</v>
      </c>
      <c r="F505" t="s">
        <v>12</v>
      </c>
      <c r="G505" t="s">
        <v>13</v>
      </c>
    </row>
    <row r="506" spans="1:7">
      <c r="A506">
        <v>505</v>
      </c>
      <c r="B506" s="1">
        <v>45478</v>
      </c>
      <c r="C506" s="1">
        <v>45482</v>
      </c>
      <c r="D506">
        <v>4</v>
      </c>
      <c r="E506" t="s">
        <v>11</v>
      </c>
      <c r="F506" t="s">
        <v>12</v>
      </c>
      <c r="G506" t="s">
        <v>13</v>
      </c>
    </row>
    <row r="507" spans="1:7">
      <c r="A507">
        <v>506</v>
      </c>
      <c r="B507" s="1">
        <v>45489</v>
      </c>
      <c r="C507" s="1">
        <v>45492</v>
      </c>
      <c r="D507">
        <v>3</v>
      </c>
      <c r="E507" t="s">
        <v>11</v>
      </c>
      <c r="F507" t="s">
        <v>9</v>
      </c>
      <c r="G507" t="s">
        <v>10</v>
      </c>
    </row>
    <row r="508" spans="1:7">
      <c r="A508">
        <v>507</v>
      </c>
      <c r="B508" s="1">
        <v>45483</v>
      </c>
      <c r="C508" s="1">
        <v>45484</v>
      </c>
      <c r="D508">
        <v>1</v>
      </c>
      <c r="E508" t="s">
        <v>11</v>
      </c>
      <c r="F508" t="s">
        <v>9</v>
      </c>
      <c r="G508" t="s">
        <v>10</v>
      </c>
    </row>
    <row r="509" spans="1:7">
      <c r="A509">
        <v>508</v>
      </c>
      <c r="B509" s="1">
        <v>45476</v>
      </c>
      <c r="C509" s="1">
        <v>45479</v>
      </c>
      <c r="D509">
        <v>3</v>
      </c>
      <c r="E509" t="s">
        <v>14</v>
      </c>
      <c r="F509" t="s">
        <v>9</v>
      </c>
      <c r="G509" t="s">
        <v>10</v>
      </c>
    </row>
    <row r="510" spans="1:7">
      <c r="A510">
        <v>509</v>
      </c>
      <c r="B510" s="1">
        <v>45496</v>
      </c>
      <c r="C510" s="1">
        <v>45501</v>
      </c>
      <c r="D510">
        <v>5</v>
      </c>
      <c r="E510" t="s">
        <v>14</v>
      </c>
      <c r="F510" t="s">
        <v>9</v>
      </c>
      <c r="G510" t="s">
        <v>13</v>
      </c>
    </row>
    <row r="511" spans="1:7">
      <c r="A511">
        <v>510</v>
      </c>
      <c r="B511" s="1">
        <v>45488</v>
      </c>
      <c r="C511" s="1">
        <v>45489</v>
      </c>
      <c r="D511">
        <v>1</v>
      </c>
      <c r="E511" t="s">
        <v>11</v>
      </c>
      <c r="F511" t="s">
        <v>15</v>
      </c>
      <c r="G511" t="s">
        <v>10</v>
      </c>
    </row>
    <row r="512" spans="1:7">
      <c r="A512">
        <v>511</v>
      </c>
      <c r="B512" s="1">
        <v>45498</v>
      </c>
      <c r="C512" s="1">
        <v>45500</v>
      </c>
      <c r="D512">
        <v>2</v>
      </c>
      <c r="E512" t="s">
        <v>8</v>
      </c>
      <c r="F512" t="s">
        <v>9</v>
      </c>
      <c r="G512" t="s">
        <v>10</v>
      </c>
    </row>
    <row r="513" spans="1:7">
      <c r="A513">
        <v>512</v>
      </c>
      <c r="B513" s="1">
        <v>45496</v>
      </c>
      <c r="C513" s="1">
        <v>45501</v>
      </c>
      <c r="D513">
        <v>5</v>
      </c>
      <c r="E513" t="s">
        <v>11</v>
      </c>
      <c r="F513" t="s">
        <v>12</v>
      </c>
      <c r="G513" t="s">
        <v>13</v>
      </c>
    </row>
    <row r="514" spans="1:7">
      <c r="A514">
        <v>513</v>
      </c>
      <c r="B514" s="1">
        <v>45493</v>
      </c>
      <c r="C514" s="1">
        <v>45496</v>
      </c>
      <c r="D514">
        <v>3</v>
      </c>
      <c r="E514" t="s">
        <v>14</v>
      </c>
      <c r="F514" t="s">
        <v>12</v>
      </c>
      <c r="G514" t="s">
        <v>10</v>
      </c>
    </row>
    <row r="515" spans="1:7">
      <c r="A515">
        <v>514</v>
      </c>
      <c r="B515" s="1">
        <v>45489</v>
      </c>
      <c r="C515" s="1">
        <v>45490</v>
      </c>
      <c r="D515">
        <v>1</v>
      </c>
      <c r="E515" t="s">
        <v>8</v>
      </c>
      <c r="F515" t="s">
        <v>12</v>
      </c>
      <c r="G515" t="s">
        <v>10</v>
      </c>
    </row>
    <row r="516" spans="1:7">
      <c r="A516">
        <v>515</v>
      </c>
      <c r="B516" s="1">
        <v>45494</v>
      </c>
      <c r="C516" s="1">
        <v>45495</v>
      </c>
      <c r="D516">
        <v>1</v>
      </c>
      <c r="E516" t="s">
        <v>8</v>
      </c>
      <c r="F516" t="s">
        <v>15</v>
      </c>
      <c r="G516" t="s">
        <v>10</v>
      </c>
    </row>
    <row r="517" spans="1:7">
      <c r="A517">
        <v>516</v>
      </c>
      <c r="B517" s="1">
        <v>45486</v>
      </c>
      <c r="C517" s="1">
        <v>45490</v>
      </c>
      <c r="D517">
        <v>4</v>
      </c>
      <c r="E517" t="s">
        <v>14</v>
      </c>
      <c r="F517" t="s">
        <v>12</v>
      </c>
      <c r="G517" t="s">
        <v>13</v>
      </c>
    </row>
    <row r="518" spans="1:7">
      <c r="A518">
        <v>517</v>
      </c>
      <c r="B518" s="1">
        <v>45493</v>
      </c>
      <c r="C518" s="1">
        <v>45496</v>
      </c>
      <c r="D518">
        <v>3</v>
      </c>
      <c r="E518" t="s">
        <v>11</v>
      </c>
      <c r="F518" t="s">
        <v>9</v>
      </c>
      <c r="G518" t="s">
        <v>10</v>
      </c>
    </row>
    <row r="519" spans="1:7">
      <c r="A519">
        <v>518</v>
      </c>
      <c r="B519" s="1">
        <v>45502</v>
      </c>
      <c r="C519" s="1">
        <v>45506</v>
      </c>
      <c r="D519">
        <v>4</v>
      </c>
      <c r="E519" t="s">
        <v>14</v>
      </c>
      <c r="F519" t="s">
        <v>9</v>
      </c>
      <c r="G519" t="s">
        <v>13</v>
      </c>
    </row>
    <row r="520" spans="1:7">
      <c r="A520">
        <v>519</v>
      </c>
      <c r="B520" s="1">
        <v>45489</v>
      </c>
      <c r="C520" s="1">
        <v>45490</v>
      </c>
      <c r="D520">
        <v>1</v>
      </c>
      <c r="E520" t="s">
        <v>14</v>
      </c>
      <c r="F520" t="s">
        <v>15</v>
      </c>
      <c r="G520" t="s">
        <v>10</v>
      </c>
    </row>
    <row r="521" spans="1:7">
      <c r="A521">
        <v>520</v>
      </c>
      <c r="B521" s="1">
        <v>45490</v>
      </c>
      <c r="C521" s="1">
        <v>45493</v>
      </c>
      <c r="D521">
        <v>3</v>
      </c>
      <c r="E521" t="s">
        <v>11</v>
      </c>
      <c r="F521" t="s">
        <v>12</v>
      </c>
      <c r="G521" t="s">
        <v>10</v>
      </c>
    </row>
    <row r="522" spans="1:7">
      <c r="A522">
        <v>521</v>
      </c>
      <c r="B522" s="1">
        <v>45488</v>
      </c>
      <c r="C522" s="1">
        <v>45492</v>
      </c>
      <c r="D522">
        <v>4</v>
      </c>
      <c r="E522" t="s">
        <v>14</v>
      </c>
      <c r="F522" t="s">
        <v>12</v>
      </c>
      <c r="G522" t="s">
        <v>13</v>
      </c>
    </row>
    <row r="523" spans="1:7">
      <c r="A523">
        <v>522</v>
      </c>
      <c r="B523" s="1">
        <v>45500</v>
      </c>
      <c r="C523" s="1">
        <v>45502</v>
      </c>
      <c r="D523">
        <v>2</v>
      </c>
      <c r="E523" t="s">
        <v>14</v>
      </c>
      <c r="F523" t="s">
        <v>12</v>
      </c>
      <c r="G523" t="s">
        <v>10</v>
      </c>
    </row>
    <row r="524" spans="1:7">
      <c r="A524">
        <v>523</v>
      </c>
      <c r="B524" s="1">
        <v>45477</v>
      </c>
      <c r="C524" s="1">
        <v>45480</v>
      </c>
      <c r="D524">
        <v>3</v>
      </c>
      <c r="E524" t="s">
        <v>8</v>
      </c>
      <c r="F524" t="s">
        <v>9</v>
      </c>
      <c r="G524" t="s">
        <v>10</v>
      </c>
    </row>
    <row r="525" spans="1:7">
      <c r="A525">
        <v>524</v>
      </c>
      <c r="B525" s="1">
        <v>45492</v>
      </c>
      <c r="C525" s="1">
        <v>45494</v>
      </c>
      <c r="D525">
        <v>2</v>
      </c>
      <c r="E525" t="s">
        <v>8</v>
      </c>
      <c r="F525" t="s">
        <v>15</v>
      </c>
      <c r="G525" t="s">
        <v>10</v>
      </c>
    </row>
    <row r="526" spans="1:7">
      <c r="A526">
        <v>525</v>
      </c>
      <c r="B526" s="1">
        <v>45474</v>
      </c>
      <c r="C526" s="1">
        <v>45479</v>
      </c>
      <c r="D526">
        <v>5</v>
      </c>
      <c r="E526" t="s">
        <v>8</v>
      </c>
      <c r="F526" t="s">
        <v>9</v>
      </c>
      <c r="G526" t="s">
        <v>13</v>
      </c>
    </row>
    <row r="527" spans="1:7">
      <c r="A527">
        <v>526</v>
      </c>
      <c r="B527" s="1">
        <v>45489</v>
      </c>
      <c r="C527" s="1">
        <v>45492</v>
      </c>
      <c r="D527">
        <v>3</v>
      </c>
      <c r="E527" t="s">
        <v>8</v>
      </c>
      <c r="F527" t="s">
        <v>9</v>
      </c>
      <c r="G527" t="s">
        <v>10</v>
      </c>
    </row>
    <row r="528" spans="1:7">
      <c r="A528">
        <v>527</v>
      </c>
      <c r="B528" s="1">
        <v>45493</v>
      </c>
      <c r="C528" s="1">
        <v>45497</v>
      </c>
      <c r="D528">
        <v>4</v>
      </c>
      <c r="E528" t="s">
        <v>11</v>
      </c>
      <c r="F528" t="s">
        <v>12</v>
      </c>
      <c r="G528" t="s">
        <v>13</v>
      </c>
    </row>
    <row r="529" spans="1:7">
      <c r="A529">
        <v>528</v>
      </c>
      <c r="B529" s="1">
        <v>45478</v>
      </c>
      <c r="C529" s="1">
        <v>45479</v>
      </c>
      <c r="D529">
        <v>1</v>
      </c>
      <c r="E529" t="s">
        <v>14</v>
      </c>
      <c r="F529" t="s">
        <v>12</v>
      </c>
      <c r="G529" t="s">
        <v>10</v>
      </c>
    </row>
    <row r="530" spans="1:7">
      <c r="A530">
        <v>529</v>
      </c>
      <c r="B530" s="1">
        <v>45482</v>
      </c>
      <c r="C530" s="1">
        <v>45485</v>
      </c>
      <c r="D530">
        <v>3</v>
      </c>
      <c r="E530" t="s">
        <v>11</v>
      </c>
      <c r="F530" t="s">
        <v>15</v>
      </c>
      <c r="G530" t="s">
        <v>10</v>
      </c>
    </row>
    <row r="531" spans="1:7">
      <c r="A531">
        <v>530</v>
      </c>
      <c r="B531" s="1">
        <v>45500</v>
      </c>
      <c r="C531" s="1">
        <v>45503</v>
      </c>
      <c r="D531">
        <v>3</v>
      </c>
      <c r="E531" t="s">
        <v>11</v>
      </c>
      <c r="F531" t="s">
        <v>15</v>
      </c>
      <c r="G531" t="s">
        <v>10</v>
      </c>
    </row>
    <row r="532" spans="1:7">
      <c r="A532">
        <v>531</v>
      </c>
      <c r="B532" s="1">
        <v>45476</v>
      </c>
      <c r="C532" s="1">
        <v>45480</v>
      </c>
      <c r="D532">
        <v>4</v>
      </c>
      <c r="E532" t="s">
        <v>8</v>
      </c>
      <c r="F532" t="s">
        <v>9</v>
      </c>
      <c r="G532" t="s">
        <v>13</v>
      </c>
    </row>
    <row r="533" spans="1:7">
      <c r="A533">
        <v>532</v>
      </c>
      <c r="B533" s="1">
        <v>45495</v>
      </c>
      <c r="C533" s="1">
        <v>45499</v>
      </c>
      <c r="D533">
        <v>4</v>
      </c>
      <c r="E533" t="s">
        <v>8</v>
      </c>
      <c r="F533" t="s">
        <v>9</v>
      </c>
      <c r="G533" t="s">
        <v>13</v>
      </c>
    </row>
    <row r="534" spans="1:7">
      <c r="A534">
        <v>533</v>
      </c>
      <c r="B534" s="1">
        <v>45493</v>
      </c>
      <c r="C534" s="1">
        <v>45497</v>
      </c>
      <c r="D534">
        <v>4</v>
      </c>
      <c r="E534" t="s">
        <v>11</v>
      </c>
      <c r="F534" t="s">
        <v>15</v>
      </c>
      <c r="G534" t="s">
        <v>13</v>
      </c>
    </row>
    <row r="535" spans="1:7">
      <c r="A535">
        <v>534</v>
      </c>
      <c r="B535" s="1">
        <v>45497</v>
      </c>
      <c r="C535" s="1">
        <v>45499</v>
      </c>
      <c r="D535">
        <v>2</v>
      </c>
      <c r="E535" t="s">
        <v>11</v>
      </c>
      <c r="F535" t="s">
        <v>12</v>
      </c>
      <c r="G535" t="s">
        <v>10</v>
      </c>
    </row>
    <row r="536" spans="1:7">
      <c r="A536">
        <v>535</v>
      </c>
      <c r="B536" s="1">
        <v>45476</v>
      </c>
      <c r="C536" s="1">
        <v>45481</v>
      </c>
      <c r="D536">
        <v>5</v>
      </c>
      <c r="E536" t="s">
        <v>14</v>
      </c>
      <c r="F536" t="s">
        <v>9</v>
      </c>
      <c r="G536" t="s">
        <v>13</v>
      </c>
    </row>
    <row r="537" spans="1:7">
      <c r="A537">
        <v>536</v>
      </c>
      <c r="B537" s="1">
        <v>45475</v>
      </c>
      <c r="C537" s="1">
        <v>45478</v>
      </c>
      <c r="D537">
        <v>3</v>
      </c>
      <c r="E537" t="s">
        <v>8</v>
      </c>
      <c r="F537" t="s">
        <v>15</v>
      </c>
      <c r="G537" t="s">
        <v>10</v>
      </c>
    </row>
    <row r="538" spans="1:7">
      <c r="A538">
        <v>537</v>
      </c>
      <c r="B538" s="1">
        <v>45494</v>
      </c>
      <c r="C538" s="1">
        <v>45497</v>
      </c>
      <c r="D538">
        <v>3</v>
      </c>
      <c r="E538" t="s">
        <v>11</v>
      </c>
      <c r="F538" t="s">
        <v>15</v>
      </c>
      <c r="G538" t="s">
        <v>10</v>
      </c>
    </row>
    <row r="539" spans="1:7">
      <c r="A539">
        <v>538</v>
      </c>
      <c r="B539" s="1">
        <v>45478</v>
      </c>
      <c r="C539" s="1">
        <v>45482</v>
      </c>
      <c r="D539">
        <v>4</v>
      </c>
      <c r="E539" t="s">
        <v>14</v>
      </c>
      <c r="F539" t="s">
        <v>12</v>
      </c>
      <c r="G539" t="s">
        <v>13</v>
      </c>
    </row>
    <row r="540" spans="1:7">
      <c r="A540">
        <v>539</v>
      </c>
      <c r="B540" s="1">
        <v>45478</v>
      </c>
      <c r="C540" s="1">
        <v>45482</v>
      </c>
      <c r="D540">
        <v>4</v>
      </c>
      <c r="E540" t="s">
        <v>8</v>
      </c>
      <c r="F540" t="s">
        <v>9</v>
      </c>
      <c r="G540" t="s">
        <v>13</v>
      </c>
    </row>
    <row r="541" spans="1:7">
      <c r="A541">
        <v>540</v>
      </c>
      <c r="B541" s="1">
        <v>45489</v>
      </c>
      <c r="C541" s="1">
        <v>45492</v>
      </c>
      <c r="D541">
        <v>3</v>
      </c>
      <c r="E541" t="s">
        <v>11</v>
      </c>
      <c r="F541" t="s">
        <v>12</v>
      </c>
      <c r="G541" t="s">
        <v>10</v>
      </c>
    </row>
    <row r="542" spans="1:7">
      <c r="A542">
        <v>541</v>
      </c>
      <c r="B542" s="1">
        <v>45475</v>
      </c>
      <c r="C542" s="1">
        <v>45476</v>
      </c>
      <c r="D542">
        <v>1</v>
      </c>
      <c r="E542" t="s">
        <v>11</v>
      </c>
      <c r="F542" t="s">
        <v>15</v>
      </c>
      <c r="G542" t="s">
        <v>10</v>
      </c>
    </row>
    <row r="543" spans="1:7">
      <c r="A543">
        <v>542</v>
      </c>
      <c r="B543" s="1">
        <v>45499</v>
      </c>
      <c r="C543" s="1">
        <v>45501</v>
      </c>
      <c r="D543">
        <v>2</v>
      </c>
      <c r="E543" t="s">
        <v>11</v>
      </c>
      <c r="F543" t="s">
        <v>15</v>
      </c>
      <c r="G543" t="s">
        <v>10</v>
      </c>
    </row>
    <row r="544" spans="1:7">
      <c r="A544">
        <v>543</v>
      </c>
      <c r="B544" s="1">
        <v>45491</v>
      </c>
      <c r="C544" s="1">
        <v>45492</v>
      </c>
      <c r="D544">
        <v>1</v>
      </c>
      <c r="E544" t="s">
        <v>8</v>
      </c>
      <c r="F544" t="s">
        <v>9</v>
      </c>
      <c r="G544" t="s">
        <v>10</v>
      </c>
    </row>
    <row r="545" spans="1:7">
      <c r="A545">
        <v>544</v>
      </c>
      <c r="B545" s="1">
        <v>45477</v>
      </c>
      <c r="C545" s="1">
        <v>45478</v>
      </c>
      <c r="D545">
        <v>1</v>
      </c>
      <c r="E545" t="s">
        <v>14</v>
      </c>
      <c r="F545" t="s">
        <v>12</v>
      </c>
      <c r="G545" t="s">
        <v>10</v>
      </c>
    </row>
    <row r="546" spans="1:7">
      <c r="A546">
        <v>545</v>
      </c>
      <c r="B546" s="1">
        <v>45498</v>
      </c>
      <c r="C546" s="1">
        <v>45501</v>
      </c>
      <c r="D546">
        <v>3</v>
      </c>
      <c r="E546" t="s">
        <v>8</v>
      </c>
      <c r="F546" t="s">
        <v>12</v>
      </c>
      <c r="G546" t="s">
        <v>10</v>
      </c>
    </row>
    <row r="547" spans="1:7">
      <c r="A547">
        <v>546</v>
      </c>
      <c r="B547" s="1">
        <v>45504</v>
      </c>
      <c r="C547" s="1">
        <v>45507</v>
      </c>
      <c r="D547">
        <v>3</v>
      </c>
      <c r="E547" t="s">
        <v>8</v>
      </c>
      <c r="F547" t="s">
        <v>9</v>
      </c>
      <c r="G547" t="s">
        <v>10</v>
      </c>
    </row>
    <row r="548" spans="1:7">
      <c r="A548">
        <v>547</v>
      </c>
      <c r="B548" s="1">
        <v>45502</v>
      </c>
      <c r="C548" s="1">
        <v>45503</v>
      </c>
      <c r="D548">
        <v>1</v>
      </c>
      <c r="E548" t="s">
        <v>14</v>
      </c>
      <c r="F548" t="s">
        <v>12</v>
      </c>
      <c r="G548" t="s">
        <v>10</v>
      </c>
    </row>
    <row r="549" spans="1:7">
      <c r="A549">
        <v>548</v>
      </c>
      <c r="B549" s="1">
        <v>45504</v>
      </c>
      <c r="C549" s="1">
        <v>45506</v>
      </c>
      <c r="D549">
        <v>2</v>
      </c>
      <c r="E549" t="s">
        <v>11</v>
      </c>
      <c r="F549" t="s">
        <v>15</v>
      </c>
      <c r="G549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2025-11-23T20:08:06Z</dcterms:created>
  <dcterms:modified xsi:type="dcterms:W3CDTF">2025-11-27T23:29:07Z</dcterms:modified>
  <cp:category/>
  <cp:contentStatus/>
</cp:coreProperties>
</file>